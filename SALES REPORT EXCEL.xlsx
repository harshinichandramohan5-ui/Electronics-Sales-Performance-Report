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8_{623E704E-A1A7-4CBC-96C5-9BE6F5C57FD4}" xr6:coauthVersionLast="47" xr6:coauthVersionMax="47" xr10:uidLastSave="{00000000-0000-0000-0000-000000000000}"/>
  <bookViews>
    <workbookView xWindow="-120" yWindow="-120" windowWidth="20730" windowHeight="11040" activeTab="7" xr2:uid="{B34D4225-CE08-47E6-BEDD-77964710133F}"/>
  </bookViews>
  <sheets>
    <sheet name="Sheet1" sheetId="2" r:id="rId1"/>
    <sheet name="Sheet2" sheetId="3" r:id="rId2"/>
    <sheet name="Sheet3" sheetId="4" r:id="rId3"/>
    <sheet name="Sheet4" sheetId="5" r:id="rId4"/>
    <sheet name="Sheet5" sheetId="6" r:id="rId5"/>
    <sheet name="Sheet6" sheetId="9" r:id="rId6"/>
    <sheet name="Sheet7" sheetId="8" r:id="rId7"/>
    <sheet name="DASHBOARD" sheetId="7" r:id="rId8"/>
    <sheet name="Sales Report" sheetId="1" r:id="rId9"/>
  </sheets>
  <definedNames>
    <definedName name="_xlnm._FilterDatabase" localSheetId="8" hidden="1">'Sales Report'!$A$1:$P$936</definedName>
    <definedName name="NativeTimeline_Order_Date">#N/A</definedName>
    <definedName name="Slicer_Product_Name">#N/A</definedName>
    <definedName name="Slicer_Status">#N/A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c r="O714" i="1" a="1"/>
  <c r="O714" i="1" s="1"/>
  <c r="O715" i="1" a="1"/>
  <c r="O715" i="1" s="1"/>
  <c r="O716" i="1" a="1"/>
  <c r="O716" i="1" s="1"/>
  <c r="O717" i="1" a="1"/>
  <c r="O717" i="1" s="1"/>
  <c r="O718" i="1" a="1"/>
  <c r="O718" i="1" s="1"/>
  <c r="O719" i="1" a="1"/>
  <c r="O719" i="1" s="1"/>
  <c r="O720" i="1" a="1"/>
  <c r="O720" i="1"/>
  <c r="O721" i="1" a="1"/>
  <c r="O721" i="1" s="1"/>
  <c r="O722" i="1" a="1"/>
  <c r="O722" i="1" s="1"/>
  <c r="O723" i="1" a="1"/>
  <c r="O723" i="1" s="1"/>
  <c r="O724" i="1" a="1"/>
  <c r="O724" i="1" s="1"/>
  <c r="O725" i="1" a="1"/>
  <c r="O725" i="1"/>
  <c r="O726" i="1" a="1"/>
  <c r="O726" i="1" s="1"/>
  <c r="O727" i="1" a="1"/>
  <c r="O727" i="1" s="1"/>
  <c r="O728" i="1" a="1"/>
  <c r="O728" i="1" s="1"/>
  <c r="O729" i="1" a="1"/>
  <c r="O729" i="1" s="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s="1"/>
  <c r="O741" i="1" a="1"/>
  <c r="O741" i="1" s="1"/>
  <c r="O742" i="1" a="1"/>
  <c r="O742" i="1" s="1"/>
  <c r="O743" i="1" a="1"/>
  <c r="O743" i="1" s="1"/>
  <c r="O744" i="1" a="1"/>
  <c r="O744" i="1" s="1"/>
  <c r="O745" i="1" a="1"/>
  <c r="O745" i="1"/>
  <c r="O746" i="1" a="1"/>
  <c r="O746" i="1" s="1"/>
  <c r="O747" i="1" a="1"/>
  <c r="O747" i="1" s="1"/>
  <c r="O748" i="1" a="1"/>
  <c r="O748" i="1" s="1"/>
  <c r="O749" i="1" a="1"/>
  <c r="O749" i="1" s="1"/>
  <c r="O750" i="1" a="1"/>
  <c r="O750" i="1" s="1"/>
  <c r="O751" i="1" a="1"/>
  <c r="O751" i="1" s="1"/>
  <c r="O752" i="1" a="1"/>
  <c r="O752" i="1"/>
  <c r="O753" i="1" a="1"/>
  <c r="O753" i="1" s="1"/>
  <c r="O754" i="1" a="1"/>
  <c r="O754" i="1" s="1"/>
  <c r="O755" i="1" a="1"/>
  <c r="O755" i="1" s="1"/>
  <c r="O756" i="1" a="1"/>
  <c r="O756" i="1" s="1"/>
  <c r="O757" i="1" a="1"/>
  <c r="O757" i="1" s="1"/>
  <c r="O758" i="1" a="1"/>
  <c r="O758" i="1" s="1"/>
  <c r="O759" i="1" a="1"/>
  <c r="O759" i="1" s="1"/>
  <c r="O760" i="1" a="1"/>
  <c r="O760" i="1" s="1"/>
  <c r="O761" i="1" a="1"/>
  <c r="O761" i="1"/>
  <c r="O762" i="1" a="1"/>
  <c r="O762" i="1" s="1"/>
  <c r="O763" i="1" a="1"/>
  <c r="O763" i="1" s="1"/>
  <c r="O764" i="1" a="1"/>
  <c r="O764" i="1" s="1"/>
  <c r="O765" i="1" a="1"/>
  <c r="O765" i="1" s="1"/>
  <c r="O766" i="1" a="1"/>
  <c r="O766" i="1" s="1"/>
  <c r="O767" i="1" a="1"/>
  <c r="O767" i="1" s="1"/>
  <c r="O768" i="1" a="1"/>
  <c r="O768" i="1"/>
  <c r="O769" i="1" a="1"/>
  <c r="O769" i="1" s="1"/>
  <c r="O770" i="1" a="1"/>
  <c r="O770" i="1" s="1"/>
  <c r="O771" i="1" a="1"/>
  <c r="O771" i="1" s="1"/>
  <c r="O772" i="1" a="1"/>
  <c r="O772" i="1" s="1"/>
  <c r="O773" i="1" a="1"/>
  <c r="O773" i="1" s="1"/>
  <c r="O774" i="1" a="1"/>
  <c r="O774" i="1" s="1"/>
  <c r="O775" i="1" a="1"/>
  <c r="O775" i="1" s="1"/>
  <c r="O776" i="1" a="1"/>
  <c r="O776" i="1" s="1"/>
  <c r="O777" i="1" a="1"/>
  <c r="O777" i="1"/>
  <c r="O778" i="1" a="1"/>
  <c r="O778" i="1" s="1"/>
  <c r="O779" i="1" a="1"/>
  <c r="O779" i="1" s="1"/>
  <c r="O780" i="1" a="1"/>
  <c r="O780" i="1" s="1"/>
  <c r="O781" i="1" a="1"/>
  <c r="O781" i="1" s="1"/>
  <c r="O782" i="1" a="1"/>
  <c r="O782" i="1" s="1"/>
  <c r="O783" i="1" a="1"/>
  <c r="O783" i="1" s="1"/>
  <c r="O784" i="1" a="1"/>
  <c r="O784" i="1" s="1"/>
  <c r="O785" i="1" a="1"/>
  <c r="O785" i="1" s="1"/>
  <c r="O786" i="1" a="1"/>
  <c r="O786" i="1" s="1"/>
  <c r="O787" i="1" a="1"/>
  <c r="O787" i="1" s="1"/>
  <c r="O788" i="1" a="1"/>
  <c r="O788" i="1"/>
  <c r="O789" i="1" a="1"/>
  <c r="O789" i="1" s="1"/>
  <c r="O790" i="1" a="1"/>
  <c r="O790" i="1" s="1"/>
  <c r="O791" i="1" a="1"/>
  <c r="O791" i="1" s="1"/>
  <c r="O792" i="1" a="1"/>
  <c r="O792" i="1" s="1"/>
  <c r="O793" i="1" a="1"/>
  <c r="O793" i="1"/>
  <c r="O794" i="1" a="1"/>
  <c r="O794" i="1" s="1"/>
  <c r="O795" i="1" a="1"/>
  <c r="O795" i="1" s="1"/>
  <c r="O796" i="1" a="1"/>
  <c r="O796" i="1" s="1"/>
  <c r="O797" i="1" a="1"/>
  <c r="O797" i="1" s="1"/>
  <c r="O798" i="1" a="1"/>
  <c r="O798" i="1" s="1"/>
  <c r="O799" i="1" a="1"/>
  <c r="O799" i="1" s="1"/>
  <c r="O800" i="1" a="1"/>
  <c r="O800" i="1"/>
  <c r="O801" i="1" a="1"/>
  <c r="O801" i="1" s="1"/>
  <c r="O802" i="1" a="1"/>
  <c r="O802" i="1" s="1"/>
  <c r="O803" i="1" a="1"/>
  <c r="O803" i="1" s="1"/>
  <c r="O804" i="1" a="1"/>
  <c r="O804" i="1" s="1"/>
  <c r="O805" i="1" a="1"/>
  <c r="O805" i="1" s="1"/>
  <c r="O806" i="1" a="1"/>
  <c r="O806" i="1" s="1"/>
  <c r="O807" i="1" a="1"/>
  <c r="O807" i="1" s="1"/>
  <c r="O808" i="1" a="1"/>
  <c r="O808" i="1" s="1"/>
  <c r="O809" i="1" a="1"/>
  <c r="O809" i="1"/>
  <c r="O810" i="1" a="1"/>
  <c r="O810" i="1" s="1"/>
  <c r="O811" i="1" a="1"/>
  <c r="O811" i="1" s="1"/>
  <c r="O812" i="1" a="1"/>
  <c r="O812" i="1" s="1"/>
  <c r="O813" i="1" a="1"/>
  <c r="O813" i="1" s="1"/>
  <c r="O814" i="1" a="1"/>
  <c r="O814" i="1" s="1"/>
  <c r="O815" i="1" a="1"/>
  <c r="O815" i="1" s="1"/>
  <c r="O816" i="1" a="1"/>
  <c r="O816" i="1"/>
  <c r="O817" i="1" a="1"/>
  <c r="O817" i="1" s="1"/>
  <c r="O818" i="1" a="1"/>
  <c r="O818" i="1" s="1"/>
  <c r="O819" i="1" a="1"/>
  <c r="O819" i="1" s="1"/>
  <c r="O820" i="1" a="1"/>
  <c r="O820" i="1"/>
  <c r="O821" i="1" a="1"/>
  <c r="O821" i="1"/>
  <c r="O822" i="1" a="1"/>
  <c r="O822" i="1" s="1"/>
  <c r="O823" i="1" a="1"/>
  <c r="O823" i="1" s="1"/>
  <c r="O824" i="1" a="1"/>
  <c r="O824" i="1" s="1"/>
  <c r="O825" i="1" a="1"/>
  <c r="O825" i="1"/>
  <c r="O826" i="1" a="1"/>
  <c r="O826" i="1" s="1"/>
  <c r="O827" i="1" a="1"/>
  <c r="O827" i="1" s="1"/>
  <c r="O828" i="1" a="1"/>
  <c r="O828" i="1" s="1"/>
  <c r="O829" i="1" a="1"/>
  <c r="O829" i="1" s="1"/>
  <c r="O830" i="1" a="1"/>
  <c r="O830" i="1" s="1"/>
  <c r="O831" i="1" a="1"/>
  <c r="O831" i="1" s="1"/>
  <c r="O832" i="1" a="1"/>
  <c r="O832" i="1"/>
  <c r="O833" i="1" a="1"/>
  <c r="O833" i="1" s="1"/>
  <c r="O834" i="1" a="1"/>
  <c r="O834" i="1" s="1"/>
  <c r="O835" i="1" a="1"/>
  <c r="O835" i="1" s="1"/>
  <c r="O836" i="1" a="1"/>
  <c r="O836" i="1" s="1"/>
  <c r="O837" i="1" a="1"/>
  <c r="O837" i="1" s="1"/>
  <c r="O838" i="1" a="1"/>
  <c r="O838" i="1" s="1"/>
  <c r="O839" i="1" a="1"/>
  <c r="O839" i="1" s="1"/>
  <c r="O840" i="1" a="1"/>
  <c r="O840" i="1" s="1"/>
  <c r="O841" i="1" a="1"/>
  <c r="O841" i="1"/>
  <c r="O842" i="1" a="1"/>
  <c r="O842" i="1" s="1"/>
  <c r="O843" i="1" a="1"/>
  <c r="O843" i="1" s="1"/>
  <c r="O844" i="1" a="1"/>
  <c r="O844" i="1" s="1"/>
  <c r="O845" i="1" a="1"/>
  <c r="O845" i="1" s="1"/>
  <c r="O846" i="1" a="1"/>
  <c r="O846" i="1" s="1"/>
  <c r="O847" i="1" a="1"/>
  <c r="O847" i="1" s="1"/>
  <c r="O848" i="1" a="1"/>
  <c r="O848" i="1"/>
  <c r="O849" i="1" a="1"/>
  <c r="O849" i="1" s="1"/>
  <c r="O850" i="1" a="1"/>
  <c r="O850" i="1" s="1"/>
  <c r="O851" i="1" a="1"/>
  <c r="O851" i="1" s="1"/>
  <c r="O852" i="1" a="1"/>
  <c r="O852" i="1" s="1"/>
  <c r="O853" i="1" a="1"/>
  <c r="O853" i="1"/>
  <c r="O854" i="1" a="1"/>
  <c r="O854" i="1" s="1"/>
  <c r="O855" i="1" a="1"/>
  <c r="O855" i="1" s="1"/>
  <c r="O856" i="1" a="1"/>
  <c r="O856" i="1" s="1"/>
  <c r="O857" i="1" a="1"/>
  <c r="O857" i="1"/>
  <c r="O858" i="1" a="1"/>
  <c r="O858" i="1" s="1"/>
  <c r="O859" i="1" a="1"/>
  <c r="O859" i="1" s="1"/>
  <c r="O860" i="1" a="1"/>
  <c r="O860" i="1" s="1"/>
  <c r="O861" i="1" a="1"/>
  <c r="O861" i="1" s="1"/>
  <c r="O862" i="1" a="1"/>
  <c r="O862" i="1" s="1"/>
  <c r="O863" i="1" a="1"/>
  <c r="O863" i="1" s="1"/>
  <c r="O864" i="1" a="1"/>
  <c r="O864" i="1"/>
  <c r="O865" i="1" a="1"/>
  <c r="O865" i="1" s="1"/>
  <c r="O866" i="1" a="1"/>
  <c r="O866" i="1" s="1"/>
  <c r="O867" i="1" a="1"/>
  <c r="O867" i="1" s="1"/>
  <c r="O868" i="1" a="1"/>
  <c r="O868" i="1" s="1"/>
  <c r="O869" i="1" a="1"/>
  <c r="O869" i="1" s="1"/>
  <c r="O870" i="1" a="1"/>
  <c r="O870" i="1" s="1"/>
  <c r="O871" i="1" a="1"/>
  <c r="O871" i="1" s="1"/>
  <c r="O872" i="1" a="1"/>
  <c r="O872" i="1" s="1"/>
  <c r="O873" i="1" a="1"/>
  <c r="O873" i="1"/>
  <c r="O874" i="1" a="1"/>
  <c r="O874" i="1" s="1"/>
  <c r="O875" i="1" a="1"/>
  <c r="O875" i="1" s="1"/>
  <c r="O876" i="1" a="1"/>
  <c r="O876" i="1" s="1"/>
  <c r="O877" i="1" a="1"/>
  <c r="O877" i="1" s="1"/>
  <c r="O878" i="1" a="1"/>
  <c r="O878" i="1" s="1"/>
  <c r="O879" i="1" a="1"/>
  <c r="O879" i="1" s="1"/>
  <c r="O880" i="1" a="1"/>
  <c r="O880" i="1"/>
  <c r="O881" i="1" a="1"/>
  <c r="O881" i="1" s="1"/>
  <c r="O882" i="1" a="1"/>
  <c r="O882" i="1" s="1"/>
  <c r="O883" i="1" a="1"/>
  <c r="O883" i="1" s="1"/>
  <c r="O884" i="1" a="1"/>
  <c r="O884" i="1" s="1"/>
  <c r="O885" i="1" a="1"/>
  <c r="O885" i="1" s="1"/>
  <c r="O886" i="1" a="1"/>
  <c r="O886" i="1" s="1"/>
  <c r="O887" i="1" a="1"/>
  <c r="O887" i="1" s="1"/>
  <c r="O888" i="1" a="1"/>
  <c r="O888" i="1" s="1"/>
  <c r="O889" i="1" a="1"/>
  <c r="O889" i="1"/>
  <c r="O890" i="1" a="1"/>
  <c r="O890" i="1" s="1"/>
  <c r="O891" i="1" a="1"/>
  <c r="O891" i="1" s="1"/>
  <c r="O892" i="1" a="1"/>
  <c r="O892" i="1" s="1"/>
  <c r="O893" i="1" a="1"/>
  <c r="O893" i="1" s="1"/>
  <c r="O894" i="1" a="1"/>
  <c r="O894" i="1" s="1"/>
  <c r="O895" i="1" a="1"/>
  <c r="O895" i="1" s="1"/>
  <c r="O896" i="1" a="1"/>
  <c r="O896" i="1"/>
  <c r="O897" i="1" a="1"/>
  <c r="O897" i="1" s="1"/>
  <c r="O898" i="1" a="1"/>
  <c r="O898" i="1" s="1"/>
  <c r="O899" i="1" a="1"/>
  <c r="O899" i="1" s="1"/>
  <c r="O900" i="1" a="1"/>
  <c r="O900" i="1" s="1"/>
  <c r="O901" i="1" a="1"/>
  <c r="O901" i="1" s="1"/>
  <c r="O902" i="1" a="1"/>
  <c r="O902" i="1" s="1"/>
  <c r="O903" i="1" a="1"/>
  <c r="O903" i="1" s="1"/>
  <c r="O904" i="1" a="1"/>
  <c r="O904" i="1" s="1"/>
  <c r="O905" i="1" a="1"/>
  <c r="O905" i="1"/>
  <c r="O906" i="1" a="1"/>
  <c r="O906" i="1" s="1"/>
  <c r="O907" i="1" a="1"/>
  <c r="O907" i="1" s="1"/>
  <c r="O908" i="1" a="1"/>
  <c r="O908" i="1" s="1"/>
  <c r="O909" i="1" a="1"/>
  <c r="O909" i="1" s="1"/>
  <c r="O910" i="1" a="1"/>
  <c r="O910" i="1" s="1"/>
  <c r="O911" i="1" a="1"/>
  <c r="O911" i="1" s="1"/>
  <c r="O912" i="1" a="1"/>
  <c r="O912" i="1"/>
  <c r="O913" i="1" a="1"/>
  <c r="O913" i="1" s="1"/>
  <c r="O914" i="1" a="1"/>
  <c r="O914" i="1" s="1"/>
  <c r="O915" i="1" a="1"/>
  <c r="O915" i="1" s="1"/>
  <c r="O916" i="1" a="1"/>
  <c r="O916" i="1"/>
  <c r="O917" i="1" a="1"/>
  <c r="O917" i="1" s="1"/>
  <c r="O918" i="1" a="1"/>
  <c r="O918" i="1" s="1"/>
  <c r="O919" i="1" a="1"/>
  <c r="O919" i="1" s="1"/>
  <c r="O920" i="1" a="1"/>
  <c r="O920" i="1" s="1"/>
  <c r="O921" i="1" a="1"/>
  <c r="O921" i="1"/>
  <c r="O922" i="1" a="1"/>
  <c r="O922" i="1" s="1"/>
  <c r="O923" i="1" a="1"/>
  <c r="O923" i="1" s="1"/>
  <c r="O924" i="1" a="1"/>
  <c r="O924" i="1" s="1"/>
  <c r="O925" i="1" a="1"/>
  <c r="O925" i="1" s="1"/>
  <c r="O926" i="1" a="1"/>
  <c r="O926" i="1" s="1"/>
  <c r="O927" i="1" a="1"/>
  <c r="O927" i="1" s="1"/>
  <c r="O928" i="1" a="1"/>
  <c r="O928" i="1"/>
  <c r="O929" i="1" a="1"/>
  <c r="O929" i="1" s="1"/>
  <c r="O930" i="1" a="1"/>
  <c r="O930" i="1" s="1"/>
  <c r="O931" i="1" a="1"/>
  <c r="O931" i="1" s="1"/>
  <c r="O932" i="1" a="1"/>
  <c r="O932" i="1" s="1"/>
  <c r="O933" i="1" a="1"/>
  <c r="O933" i="1" s="1"/>
  <c r="O934" i="1" a="1"/>
  <c r="O934" i="1" s="1"/>
  <c r="O935" i="1" a="1"/>
  <c r="O935" i="1" s="1"/>
  <c r="O936" i="1" a="1"/>
  <c r="O936"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s="1"/>
  <c r="O700" i="1" a="1"/>
  <c r="O700" i="1" s="1"/>
  <c r="O701" i="1" a="1"/>
  <c r="O701" i="1" s="1"/>
  <c r="O2" i="1" a="1"/>
  <c r="O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<sst xmlns="http://schemas.openxmlformats.org/spreadsheetml/2006/main" count="6361" uniqueCount="1052">
  <si>
    <t>First Name</t>
  </si>
  <si>
    <t>Last Name</t>
  </si>
  <si>
    <t>Jason</t>
  </si>
  <si>
    <t>Wright</t>
  </si>
  <si>
    <t>jason.wright@gmail.com</t>
  </si>
  <si>
    <t>Donna</t>
  </si>
  <si>
    <t>Blake</t>
  </si>
  <si>
    <t>donna.blake@gmail.com</t>
  </si>
  <si>
    <t>Bond</t>
  </si>
  <si>
    <t>jason.bond@gmail.com</t>
  </si>
  <si>
    <t>Una</t>
  </si>
  <si>
    <t>King</t>
  </si>
  <si>
    <t>una.king@gmail.com</t>
  </si>
  <si>
    <t>Steven</t>
  </si>
  <si>
    <t>Walsh</t>
  </si>
  <si>
    <t>steven.walsh@gmail.com</t>
  </si>
  <si>
    <t>Joe</t>
  </si>
  <si>
    <t>Vance</t>
  </si>
  <si>
    <t>joe.vance@gmail.com</t>
  </si>
  <si>
    <t>Deirdre</t>
  </si>
  <si>
    <t>Mills</t>
  </si>
  <si>
    <t>deirdre.mills@gmail.com</t>
  </si>
  <si>
    <t>Adam</t>
  </si>
  <si>
    <t>Ince</t>
  </si>
  <si>
    <t>adam.ince@gmail.com</t>
  </si>
  <si>
    <t>Rose</t>
  </si>
  <si>
    <t>Clark</t>
  </si>
  <si>
    <t>rose.clark@gmail.com</t>
  </si>
  <si>
    <t>Wanda</t>
  </si>
  <si>
    <t>Lee</t>
  </si>
  <si>
    <t>wanda.lee@gmail.com</t>
  </si>
  <si>
    <t>Ruth</t>
  </si>
  <si>
    <t>Rutherford</t>
  </si>
  <si>
    <t>ruth.rutherford@gmail.com</t>
  </si>
  <si>
    <t>Claire</t>
  </si>
  <si>
    <t>Hamilton</t>
  </si>
  <si>
    <t>claire.hamilton@gmail.com</t>
  </si>
  <si>
    <t>Christopher</t>
  </si>
  <si>
    <t>MacDonald</t>
  </si>
  <si>
    <t>christopher.macdonald@gmail.com</t>
  </si>
  <si>
    <t>Carl</t>
  </si>
  <si>
    <t>Berry</t>
  </si>
  <si>
    <t>carl.berry@gmail.com</t>
  </si>
  <si>
    <t>Jane</t>
  </si>
  <si>
    <t>Anderson</t>
  </si>
  <si>
    <t>jane.anderson@gmail.com</t>
  </si>
  <si>
    <t>Jasmine</t>
  </si>
  <si>
    <t>Stewart</t>
  </si>
  <si>
    <t>jasmine.stewart@gmail.com</t>
  </si>
  <si>
    <t>Jacob</t>
  </si>
  <si>
    <t>jacob.bond@gmail.com</t>
  </si>
  <si>
    <t>Ryan</t>
  </si>
  <si>
    <t>Glover</t>
  </si>
  <si>
    <t>ryan.glover@gmail.com</t>
  </si>
  <si>
    <t>Madeleine</t>
  </si>
  <si>
    <t>madeleine.clark@gmail.com</t>
  </si>
  <si>
    <t>Jonathan</t>
  </si>
  <si>
    <t>Roberts</t>
  </si>
  <si>
    <t>jonathan.roberts@gmail.com</t>
  </si>
  <si>
    <t>Lauren</t>
  </si>
  <si>
    <t>lauren.rutherford@gmail.com</t>
  </si>
  <si>
    <t>Tracey</t>
  </si>
  <si>
    <t>tracey.mills@gmail.com</t>
  </si>
  <si>
    <t>Fraser</t>
  </si>
  <si>
    <t>jacob.fraser@gmail.com</t>
  </si>
  <si>
    <t>Edward</t>
  </si>
  <si>
    <t>Bailey</t>
  </si>
  <si>
    <t>edward.bailey@gmail.com</t>
  </si>
  <si>
    <t>Leonard</t>
  </si>
  <si>
    <t>Springer</t>
  </si>
  <si>
    <t>leonard.springer@gmail.com</t>
  </si>
  <si>
    <t>Dowd</t>
  </si>
  <si>
    <t>claire.dowd@gmail.com</t>
  </si>
  <si>
    <t>Anne</t>
  </si>
  <si>
    <t>Graham</t>
  </si>
  <si>
    <t>anne.graham@gmail.com</t>
  </si>
  <si>
    <t>Jennifer</t>
  </si>
  <si>
    <t>Kerr</t>
  </si>
  <si>
    <t>jennifer.kerr@gmail.com</t>
  </si>
  <si>
    <t>Lisa</t>
  </si>
  <si>
    <t>Scott</t>
  </si>
  <si>
    <t>lisa.scott@gmail.com</t>
  </si>
  <si>
    <t>Yvonne</t>
  </si>
  <si>
    <t>yvonne.dowd@gmail.com</t>
  </si>
  <si>
    <t>Alexandra</t>
  </si>
  <si>
    <t>Dickens</t>
  </si>
  <si>
    <t>alexandra.dickens@gmail.com</t>
  </si>
  <si>
    <t>Edmunds</t>
  </si>
  <si>
    <t>anne.edmunds@gmail.com</t>
  </si>
  <si>
    <t>Dan</t>
  </si>
  <si>
    <t>Paige</t>
  </si>
  <si>
    <t>dan.paige@gmail.com</t>
  </si>
  <si>
    <t>Richard</t>
  </si>
  <si>
    <t>richard.stewart@gmail.com</t>
  </si>
  <si>
    <t>Lily</t>
  </si>
  <si>
    <t>Ellison</t>
  </si>
  <si>
    <t>lily.ellison@gmail.com</t>
  </si>
  <si>
    <t>Victoria</t>
  </si>
  <si>
    <t>Cornish</t>
  </si>
  <si>
    <t>victoria.cornish@gmail.com</t>
  </si>
  <si>
    <t>John</t>
  </si>
  <si>
    <t>Harris</t>
  </si>
  <si>
    <t>john.harris@gmail.com</t>
  </si>
  <si>
    <t>Robert</t>
  </si>
  <si>
    <t>robert.graham@gmail.com</t>
  </si>
  <si>
    <t>Knox</t>
  </si>
  <si>
    <t>tracey.knox@gmail.com</t>
  </si>
  <si>
    <t>Rees</t>
  </si>
  <si>
    <t>jane.rees@gmail.com</t>
  </si>
  <si>
    <t>Liam</t>
  </si>
  <si>
    <t>Gibson</t>
  </si>
  <si>
    <t>liam.gibson@gmail.com</t>
  </si>
  <si>
    <t>Benjamin</t>
  </si>
  <si>
    <t>Forsyth</t>
  </si>
  <si>
    <t>benjamin.forsyth@gmail.com</t>
  </si>
  <si>
    <t>Amanda</t>
  </si>
  <si>
    <t>MacLeod</t>
  </si>
  <si>
    <t>amanda.macleod@gmail.com</t>
  </si>
  <si>
    <t>North</t>
  </si>
  <si>
    <t>jonathan.north@gmail.com</t>
  </si>
  <si>
    <t>Ian</t>
  </si>
  <si>
    <t>ian.knox@gmail.com</t>
  </si>
  <si>
    <t>Harry</t>
  </si>
  <si>
    <t>Hart</t>
  </si>
  <si>
    <t>harry.hart@gmail.com</t>
  </si>
  <si>
    <t>Russell</t>
  </si>
  <si>
    <t>carl.russell@gmail.com</t>
  </si>
  <si>
    <t>Connor</t>
  </si>
  <si>
    <t>Langdon</t>
  </si>
  <si>
    <t>connor.langdon@gmail.com</t>
  </si>
  <si>
    <t>Matt</t>
  </si>
  <si>
    <t>matt.macdonald@gmail.com</t>
  </si>
  <si>
    <t>stewart.fraser@gmail.com</t>
  </si>
  <si>
    <t>Joshua</t>
  </si>
  <si>
    <t>Mitchell</t>
  </si>
  <si>
    <t>joshua.mitchell@gmail.com</t>
  </si>
  <si>
    <t>Randall</t>
  </si>
  <si>
    <t>victoria.randall@gmail.com</t>
  </si>
  <si>
    <t>Victor</t>
  </si>
  <si>
    <t>Burgess</t>
  </si>
  <si>
    <t>victor.burgess@gmail.com</t>
  </si>
  <si>
    <t>Oliver</t>
  </si>
  <si>
    <t>Mackay</t>
  </si>
  <si>
    <t>oliver.mackay@gmail.com</t>
  </si>
  <si>
    <t>ryan.randall@gmail.com</t>
  </si>
  <si>
    <t>James</t>
  </si>
  <si>
    <t>james.dickens@gmail.com</t>
  </si>
  <si>
    <t>Mary</t>
  </si>
  <si>
    <t>Reid</t>
  </si>
  <si>
    <t>mary.reid@gmail.com</t>
  </si>
  <si>
    <t>Thomas</t>
  </si>
  <si>
    <t>Clarkson</t>
  </si>
  <si>
    <t>thomas.clarkson@gmail.com</t>
  </si>
  <si>
    <t>Samantha</t>
  </si>
  <si>
    <t>samantha.ince@gmail.com</t>
  </si>
  <si>
    <t>Nicholas</t>
  </si>
  <si>
    <t>nicholas.clark@gmail.com</t>
  </si>
  <si>
    <t>victoria.mills@gmail.com</t>
  </si>
  <si>
    <t>Joanne</t>
  </si>
  <si>
    <t>Black</t>
  </si>
  <si>
    <t>joanne.black@gmail.com</t>
  </si>
  <si>
    <t>Arnold</t>
  </si>
  <si>
    <t>deirdre.arnold@gmail.com</t>
  </si>
  <si>
    <t>Hemmings</t>
  </si>
  <si>
    <t>joe.hemmings@gmail.com</t>
  </si>
  <si>
    <t>Metcalfe</t>
  </si>
  <si>
    <t>leonard.metcalfe@gmail.com</t>
  </si>
  <si>
    <t>Chapman</t>
  </si>
  <si>
    <t>anne.chapman@gmail.com</t>
  </si>
  <si>
    <t>Piers</t>
  </si>
  <si>
    <t>Ross</t>
  </si>
  <si>
    <t>piers.ross@gmail.com</t>
  </si>
  <si>
    <t>Joan</t>
  </si>
  <si>
    <t>Short</t>
  </si>
  <si>
    <t>joan.short@gmail.com</t>
  </si>
  <si>
    <t>Wilson</t>
  </si>
  <si>
    <t>jonathan.wilson@gmail.com</t>
  </si>
  <si>
    <t>Isaac</t>
  </si>
  <si>
    <t>isaac.wright@gmail.com</t>
  </si>
  <si>
    <t>mary.arnold@gmail.com</t>
  </si>
  <si>
    <t>Max</t>
  </si>
  <si>
    <t>Gill</t>
  </si>
  <si>
    <t>max.gill@gmail.com</t>
  </si>
  <si>
    <t>Abraham</t>
  </si>
  <si>
    <t>piers.abraham@gmail.com</t>
  </si>
  <si>
    <t>Dylan</t>
  </si>
  <si>
    <t>dylan.reid@gmail.com</t>
  </si>
  <si>
    <t>Tim</t>
  </si>
  <si>
    <t>Bower</t>
  </si>
  <si>
    <t>tim.bower@gmail.com</t>
  </si>
  <si>
    <t>max.king@gmail.com</t>
  </si>
  <si>
    <t>Peake</t>
  </si>
  <si>
    <t>stewart.peake@gmail.com</t>
  </si>
  <si>
    <t>Olivia</t>
  </si>
  <si>
    <t>Gray</t>
  </si>
  <si>
    <t>olivia.gray@gmail.com</t>
  </si>
  <si>
    <t>Hudson</t>
  </si>
  <si>
    <t>olivia.hudson@gmail.com</t>
  </si>
  <si>
    <t>Rebecca</t>
  </si>
  <si>
    <t>Thomson</t>
  </si>
  <si>
    <t>rebecca.thomson@gmail.com</t>
  </si>
  <si>
    <t>dylan.cornish@gmail.com</t>
  </si>
  <si>
    <t>Kevin</t>
  </si>
  <si>
    <t>kevin.langdon@gmail.com</t>
  </si>
  <si>
    <t>Wendy</t>
  </si>
  <si>
    <t>Morgan</t>
  </si>
  <si>
    <t>wendy.morgan@gmail.com</t>
  </si>
  <si>
    <t>Young</t>
  </si>
  <si>
    <t>ryan.young@gmail.com</t>
  </si>
  <si>
    <t>tracey.abraham@gmail.com</t>
  </si>
  <si>
    <t>Sonia</t>
  </si>
  <si>
    <t>Pullman</t>
  </si>
  <si>
    <t>sonia.pullman@gmail.com</t>
  </si>
  <si>
    <t>Alan</t>
  </si>
  <si>
    <t>Hunter</t>
  </si>
  <si>
    <t>alan.hunter@gmail.com</t>
  </si>
  <si>
    <t>Keith</t>
  </si>
  <si>
    <t>Cameron</t>
  </si>
  <si>
    <t>keith.cameron@gmail.com</t>
  </si>
  <si>
    <t>Heather</t>
  </si>
  <si>
    <t>Slater</t>
  </si>
  <si>
    <t>heather.slater@gmail.com</t>
  </si>
  <si>
    <t>Warren</t>
  </si>
  <si>
    <t>warren.bower@gmail.com</t>
  </si>
  <si>
    <t>Avery</t>
  </si>
  <si>
    <t>carl.avery@gmail.com</t>
  </si>
  <si>
    <t>Diana</t>
  </si>
  <si>
    <t>diana.dowd@gmail.com</t>
  </si>
  <si>
    <t>deirdre.langdon@gmail.com</t>
  </si>
  <si>
    <t>Neil</t>
  </si>
  <si>
    <t>Campbell</t>
  </si>
  <si>
    <t>neil.campbell@gmail.com</t>
  </si>
  <si>
    <t>joe.metcalfe@gmail.com</t>
  </si>
  <si>
    <t>Dorothy</t>
  </si>
  <si>
    <t>dorothy.ince@gmail.com</t>
  </si>
  <si>
    <t>Chloe</t>
  </si>
  <si>
    <t>chloe.scott@gmail.com</t>
  </si>
  <si>
    <t>piers.hunter@gmail.com</t>
  </si>
  <si>
    <t>warren.blake@gmail.com</t>
  </si>
  <si>
    <t>Irene</t>
  </si>
  <si>
    <t>irene.bower@gmail.com</t>
  </si>
  <si>
    <t>carl.macdonald@gmail.com</t>
  </si>
  <si>
    <t>Emma</t>
  </si>
  <si>
    <t>emma.young@gmail.com</t>
  </si>
  <si>
    <t>thomas.cornish@gmail.com</t>
  </si>
  <si>
    <t>Abigail</t>
  </si>
  <si>
    <t>abigail.clark@gmail.com</t>
  </si>
  <si>
    <t>Amelia</t>
  </si>
  <si>
    <t>Lambert</t>
  </si>
  <si>
    <t>amelia.lambert@gmail.com</t>
  </si>
  <si>
    <t>anne.lee@gmail.com</t>
  </si>
  <si>
    <t>Taylor</t>
  </si>
  <si>
    <t>joan.taylor@gmail.com</t>
  </si>
  <si>
    <t>Johnston</t>
  </si>
  <si>
    <t>joshua.johnston@gmail.com</t>
  </si>
  <si>
    <t>Skinner</t>
  </si>
  <si>
    <t>alan.skinner@gmail.com</t>
  </si>
  <si>
    <t>Eric</t>
  </si>
  <si>
    <t>Wallace</t>
  </si>
  <si>
    <t>eric.wallace@gmail.com</t>
  </si>
  <si>
    <t>Justin</t>
  </si>
  <si>
    <t>Murray</t>
  </si>
  <si>
    <t>justin.murray@gmail.com</t>
  </si>
  <si>
    <t>heather.hudson@gmail.com</t>
  </si>
  <si>
    <t>Andrew</t>
  </si>
  <si>
    <t>andrew.ellison@gmail.com</t>
  </si>
  <si>
    <t>Howard</t>
  </si>
  <si>
    <t>isaac.howard@gmail.com</t>
  </si>
  <si>
    <t>Manning</t>
  </si>
  <si>
    <t>una.manning@gmail.com</t>
  </si>
  <si>
    <t>Duncan</t>
  </si>
  <si>
    <t>adam.duncan@gmail.com</t>
  </si>
  <si>
    <t>Ball</t>
  </si>
  <si>
    <t>lily.ball@gmail.com</t>
  </si>
  <si>
    <t>Gavin</t>
  </si>
  <si>
    <t>gavin.forsyth@gmail.com</t>
  </si>
  <si>
    <t>Julia</t>
  </si>
  <si>
    <t>Alsop</t>
  </si>
  <si>
    <t>julia.alsop@gmail.com</t>
  </si>
  <si>
    <t>abigail.arnold@gmail.com</t>
  </si>
  <si>
    <t>leonard.dickens@gmail.com</t>
  </si>
  <si>
    <t>wendy.langdon@gmail.com</t>
  </si>
  <si>
    <t>Ava</t>
  </si>
  <si>
    <t>McDonald</t>
  </si>
  <si>
    <t>ava.mcdonald@gmail.com</t>
  </si>
  <si>
    <t>steven.graham@gmail.com</t>
  </si>
  <si>
    <t>nicholas.arnold@gmail.com</t>
  </si>
  <si>
    <t>Nathan</t>
  </si>
  <si>
    <t>nathan.hemmings@gmail.com</t>
  </si>
  <si>
    <t>David</t>
  </si>
  <si>
    <t>Piper</t>
  </si>
  <si>
    <t>david.piper@gmail.com</t>
  </si>
  <si>
    <t>Sarah</t>
  </si>
  <si>
    <t>Morrison</t>
  </si>
  <si>
    <t>sarah.morrison@gmail.com</t>
  </si>
  <si>
    <t>Sally</t>
  </si>
  <si>
    <t>Lawrence</t>
  </si>
  <si>
    <t>sally.lawrence@gmail.com</t>
  </si>
  <si>
    <t>isaac.berry@gmail.com</t>
  </si>
  <si>
    <t>cameron.lawrence@gmail.com</t>
  </si>
  <si>
    <t>Peters</t>
  </si>
  <si>
    <t>justin.peters@gmail.com</t>
  </si>
  <si>
    <t>Lewis</t>
  </si>
  <si>
    <t>neil.lewis@gmail.com</t>
  </si>
  <si>
    <t>Michelle</t>
  </si>
  <si>
    <t>michelle.gibson@gmail.com</t>
  </si>
  <si>
    <t>Rampling</t>
  </si>
  <si>
    <t>claire.rampling@gmail.com</t>
  </si>
  <si>
    <t>Sean</t>
  </si>
  <si>
    <t>Nolan</t>
  </si>
  <si>
    <t>sean.nolan@gmail.com</t>
  </si>
  <si>
    <t>Powell</t>
  </si>
  <si>
    <t>anne.powell@gmail.com</t>
  </si>
  <si>
    <t>Bernadette</t>
  </si>
  <si>
    <t>bernadette.stewart@gmail.com</t>
  </si>
  <si>
    <t>Lucas</t>
  </si>
  <si>
    <t>Dyer</t>
  </si>
  <si>
    <t>lucas.dyer@gmail.com</t>
  </si>
  <si>
    <t>Trevor</t>
  </si>
  <si>
    <t>trevor.graham@gmail.com</t>
  </si>
  <si>
    <t>Vanessa</t>
  </si>
  <si>
    <t>vanessa.lawrence@gmail.com</t>
  </si>
  <si>
    <t>deirdre.duncan@gmail.com</t>
  </si>
  <si>
    <t>Brian</t>
  </si>
  <si>
    <t>Hill</t>
  </si>
  <si>
    <t>brian.hill@gmail.com</t>
  </si>
  <si>
    <t>Jessica</t>
  </si>
  <si>
    <t>jessica.cameron@gmail.com</t>
  </si>
  <si>
    <t>michelle.rees@gmail.com</t>
  </si>
  <si>
    <t>yvonne.kerr@gmail.com</t>
  </si>
  <si>
    <t>emma.piper@gmail.com</t>
  </si>
  <si>
    <t>eric.chapman@gmail.com</t>
  </si>
  <si>
    <t>david.stewart@gmail.com</t>
  </si>
  <si>
    <t>Faith</t>
  </si>
  <si>
    <t>faith.arnold@gmail.com</t>
  </si>
  <si>
    <t>Penelope</t>
  </si>
  <si>
    <t>penelope.lee@gmail.com</t>
  </si>
  <si>
    <t>Austin</t>
  </si>
  <si>
    <t>austin.cameron@gmail.com</t>
  </si>
  <si>
    <t>Virginia</t>
  </si>
  <si>
    <t>virginia.vance@gmail.com</t>
  </si>
  <si>
    <t>joe.rampling@gmail.com</t>
  </si>
  <si>
    <t>Grant</t>
  </si>
  <si>
    <t>nathan.grant@gmail.com</t>
  </si>
  <si>
    <t>Julian</t>
  </si>
  <si>
    <t>julian.campbell@gmail.com</t>
  </si>
  <si>
    <t>Lillian</t>
  </si>
  <si>
    <t>Sutherland</t>
  </si>
  <si>
    <t>lillian.sutherland@gmail.com</t>
  </si>
  <si>
    <t>Parsons</t>
  </si>
  <si>
    <t>justin.parsons@gmail.com</t>
  </si>
  <si>
    <t>alan.gibson@gmail.com</t>
  </si>
  <si>
    <t>jonathan.dickens@gmail.com</t>
  </si>
  <si>
    <t>Boris</t>
  </si>
  <si>
    <t>Newman</t>
  </si>
  <si>
    <t>boris.newman@gmail.com</t>
  </si>
  <si>
    <t>kevin.north@gmail.com</t>
  </si>
  <si>
    <t>dylan.graham@gmail.com</t>
  </si>
  <si>
    <t>Peter</t>
  </si>
  <si>
    <t>Hughes</t>
  </si>
  <si>
    <t>peter.hughes@gmail.com</t>
  </si>
  <si>
    <t>Emily</t>
  </si>
  <si>
    <t>emily.manning@gmail.com</t>
  </si>
  <si>
    <t>lauren.ross@gmail.com</t>
  </si>
  <si>
    <t>Zoe</t>
  </si>
  <si>
    <t>McGrath</t>
  </si>
  <si>
    <t>zoe.mcgrath@gmail.com</t>
  </si>
  <si>
    <t>jonathan.vance@gmail.com</t>
  </si>
  <si>
    <t>Underwood</t>
  </si>
  <si>
    <t>nathan.underwood@gmail.com</t>
  </si>
  <si>
    <t>Alison</t>
  </si>
  <si>
    <t>alison.ince@gmail.com</t>
  </si>
  <si>
    <t>Evan</t>
  </si>
  <si>
    <t>evan.knox@gmail.com</t>
  </si>
  <si>
    <t>Robertson</t>
  </si>
  <si>
    <t>rose.robertson@gmail.com</t>
  </si>
  <si>
    <t>Sam</t>
  </si>
  <si>
    <t>sam.cornish@gmail.com</t>
  </si>
  <si>
    <t>Brown</t>
  </si>
  <si>
    <t>keith.brown@gmail.com</t>
  </si>
  <si>
    <t>victor.kerr@gmail.com</t>
  </si>
  <si>
    <t>faith.howard@gmail.com</t>
  </si>
  <si>
    <t>Stephanie</t>
  </si>
  <si>
    <t>stephanie.slater@gmail.com</t>
  </si>
  <si>
    <t>Carr</t>
  </si>
  <si>
    <t>tracey.carr@gmail.com</t>
  </si>
  <si>
    <t>Carol</t>
  </si>
  <si>
    <t>carol.macdonald@gmail.com</t>
  </si>
  <si>
    <t>madeleine.macdonald@gmail.com</t>
  </si>
  <si>
    <t>Audrey</t>
  </si>
  <si>
    <t>audrey.arnold@gmail.com</t>
  </si>
  <si>
    <t>Stephen</t>
  </si>
  <si>
    <t>stephen.arnold@gmail.com</t>
  </si>
  <si>
    <t>Nash</t>
  </si>
  <si>
    <t>carl.nash@gmail.com</t>
  </si>
  <si>
    <t>Ogden</t>
  </si>
  <si>
    <t>bernadette.ogden@gmail.com</t>
  </si>
  <si>
    <t>carol.bower@gmail.com</t>
  </si>
  <si>
    <t>blake.ince@gmail.com</t>
  </si>
  <si>
    <t>ruth.mitchell@gmail.com</t>
  </si>
  <si>
    <t>alexandra.knox@gmail.com</t>
  </si>
  <si>
    <t>austin.mills@gmail.com</t>
  </si>
  <si>
    <t>irene.brown@gmail.com</t>
  </si>
  <si>
    <t>dan.bond@gmail.com</t>
  </si>
  <si>
    <t>Luke</t>
  </si>
  <si>
    <t>luke.ince@gmail.com</t>
  </si>
  <si>
    <t>stephanie.james@gmail.com</t>
  </si>
  <si>
    <t>Theresa</t>
  </si>
  <si>
    <t>theresa.mitchell@gmail.com</t>
  </si>
  <si>
    <t>faith.taylor@gmail.com</t>
  </si>
  <si>
    <t>Simon</t>
  </si>
  <si>
    <t>simon.skinner@gmail.com</t>
  </si>
  <si>
    <t>Karen</t>
  </si>
  <si>
    <t>karen.bond@gmail.com</t>
  </si>
  <si>
    <t>Bell</t>
  </si>
  <si>
    <t>john.bell@gmail.com</t>
  </si>
  <si>
    <t>diana.knox@gmail.com</t>
  </si>
  <si>
    <t>blake.hughes@gmail.com</t>
  </si>
  <si>
    <t>Butler</t>
  </si>
  <si>
    <t>julian.butler@gmail.com</t>
  </si>
  <si>
    <t>stewart.brown@gmail.com</t>
  </si>
  <si>
    <t>lisa.dyer@gmail.com</t>
  </si>
  <si>
    <t>lauren.paige@gmail.com</t>
  </si>
  <si>
    <t>lauren.slater@gmail.com</t>
  </si>
  <si>
    <t>nicholas.thomson@gmail.com</t>
  </si>
  <si>
    <t>McLean</t>
  </si>
  <si>
    <t>eric.mclean@gmail.com</t>
  </si>
  <si>
    <t>Fisher</t>
  </si>
  <si>
    <t>kevin.fisher@gmail.com</t>
  </si>
  <si>
    <t>Davidson</t>
  </si>
  <si>
    <t>trevor.davidson@gmail.com</t>
  </si>
  <si>
    <t>diana.grant@gmail.com</t>
  </si>
  <si>
    <t>William</t>
  </si>
  <si>
    <t>william.scott@gmail.com</t>
  </si>
  <si>
    <t>Bella</t>
  </si>
  <si>
    <t>bella.graham@gmail.com</t>
  </si>
  <si>
    <t>Colin</t>
  </si>
  <si>
    <t>Poole</t>
  </si>
  <si>
    <t>colin.poole@gmail.com</t>
  </si>
  <si>
    <t>dylan.hill@gmail.com</t>
  </si>
  <si>
    <t>robert.scott@gmail.com</t>
  </si>
  <si>
    <t>Quinn</t>
  </si>
  <si>
    <t>sarah.quinn@gmail.com</t>
  </si>
  <si>
    <t>tracey.north@gmail.com</t>
  </si>
  <si>
    <t>robert.black@gmail.com</t>
  </si>
  <si>
    <t>victor.berry@gmail.com</t>
  </si>
  <si>
    <t>Payne</t>
  </si>
  <si>
    <t>piers.payne@gmail.com</t>
  </si>
  <si>
    <t>leonard.clarkson@gmail.com</t>
  </si>
  <si>
    <t>Adrian</t>
  </si>
  <si>
    <t>adrian.hill@gmail.com</t>
  </si>
  <si>
    <t>isaac.carr@gmail.com</t>
  </si>
  <si>
    <t>theresa.abraham@gmail.com</t>
  </si>
  <si>
    <t>Grace</t>
  </si>
  <si>
    <t>grace.young@gmail.com</t>
  </si>
  <si>
    <t>lily.graham@gmail.com</t>
  </si>
  <si>
    <t>richard.hunter@gmail.com</t>
  </si>
  <si>
    <t>bella.chapman@gmail.com</t>
  </si>
  <si>
    <t>irene.cameron@gmail.com</t>
  </si>
  <si>
    <t>Gordon</t>
  </si>
  <si>
    <t>gordon.metcalfe@gmail.com</t>
  </si>
  <si>
    <t>Sharp</t>
  </si>
  <si>
    <t>ruth.sharp@gmail.com</t>
  </si>
  <si>
    <t>heather.harris@gmail.com</t>
  </si>
  <si>
    <t>Phil</t>
  </si>
  <si>
    <t>phil.wallace@gmail.com</t>
  </si>
  <si>
    <t>wendy.hamilton@gmail.com</t>
  </si>
  <si>
    <t>john.graham@gmail.com</t>
  </si>
  <si>
    <t>Simpson</t>
  </si>
  <si>
    <t>claire.simpson@gmail.com</t>
  </si>
  <si>
    <t>lauren.knox@gmail.com</t>
  </si>
  <si>
    <t>Watson</t>
  </si>
  <si>
    <t>abigail.watson@gmail.com</t>
  </si>
  <si>
    <t>Charles</t>
  </si>
  <si>
    <t>Walker</t>
  </si>
  <si>
    <t>charles.walker@gmail.com</t>
  </si>
  <si>
    <t>Andrea</t>
  </si>
  <si>
    <t>andrea.ogden@gmail.com</t>
  </si>
  <si>
    <t>faith.thomson@gmail.com</t>
  </si>
  <si>
    <t>Martin</t>
  </si>
  <si>
    <t>david.martin@gmail.com</t>
  </si>
  <si>
    <t>Frank</t>
  </si>
  <si>
    <t>frank.short@gmail.com</t>
  </si>
  <si>
    <t>Greene</t>
  </si>
  <si>
    <t>ruth.greene@gmail.com</t>
  </si>
  <si>
    <t>kevin.lee@gmail.com</t>
  </si>
  <si>
    <t>Davies</t>
  </si>
  <si>
    <t>evan.davies@gmail.com</t>
  </si>
  <si>
    <t>Turner</t>
  </si>
  <si>
    <t>sarah.turner@gmail.com</t>
  </si>
  <si>
    <t>chloe.arnold@gmail.com</t>
  </si>
  <si>
    <t>nicholas.lee@gmail.com</t>
  </si>
  <si>
    <t>dylan.springer@gmail.com</t>
  </si>
  <si>
    <t>Churchill</t>
  </si>
  <si>
    <t>heather.churchill@gmail.com</t>
  </si>
  <si>
    <t>amanda.avery@gmail.com</t>
  </si>
  <si>
    <t>anne.lewis@gmail.com</t>
  </si>
  <si>
    <t>stephen.gibson@gmail.com</t>
  </si>
  <si>
    <t>jasmine.young@gmail.com</t>
  </si>
  <si>
    <t>bernadette.cornish@gmail.com</t>
  </si>
  <si>
    <t>jessica.abraham@gmail.com</t>
  </si>
  <si>
    <t>phil.davies@gmail.com</t>
  </si>
  <si>
    <t>victor.abraham@gmail.com</t>
  </si>
  <si>
    <t>stewart.skinner@gmail.com</t>
  </si>
  <si>
    <t>jessica.dickens@gmail.com</t>
  </si>
  <si>
    <t>adrian.underwood@gmail.com</t>
  </si>
  <si>
    <t>samantha.robertson@gmail.com</t>
  </si>
  <si>
    <t>Sue</t>
  </si>
  <si>
    <t>Welch</t>
  </si>
  <si>
    <t>sue.welch@gmail.com</t>
  </si>
  <si>
    <t>Kimberly</t>
  </si>
  <si>
    <t>kimberly.wright@gmail.com</t>
  </si>
  <si>
    <t>Wilkins</t>
  </si>
  <si>
    <t>virginia.wilkins@gmail.com</t>
  </si>
  <si>
    <t>Coleman</t>
  </si>
  <si>
    <t>bella.coleman@gmail.com</t>
  </si>
  <si>
    <t>oliver.langdon@gmail.com</t>
  </si>
  <si>
    <t>Angela</t>
  </si>
  <si>
    <t>angela.greene@gmail.com</t>
  </si>
  <si>
    <t>carl.carr@gmail.com</t>
  </si>
  <si>
    <t>christopher.paige@gmail.com</t>
  </si>
  <si>
    <t>Smith</t>
  </si>
  <si>
    <t>ian.smith@gmail.com</t>
  </si>
  <si>
    <t>Paul</t>
  </si>
  <si>
    <t>paul.paige@gmail.com</t>
  </si>
  <si>
    <t>victoria.ogden@gmail.com</t>
  </si>
  <si>
    <t>dorothy.bell@gmail.com</t>
  </si>
  <si>
    <t>Leah</t>
  </si>
  <si>
    <t>leah.bailey@gmail.com</t>
  </si>
  <si>
    <t>Anthony</t>
  </si>
  <si>
    <t>anthony.walsh@gmail.com</t>
  </si>
  <si>
    <t>lauren.piper@gmail.com</t>
  </si>
  <si>
    <t>stewart.hunter@gmail.com</t>
  </si>
  <si>
    <t>Lyman</t>
  </si>
  <si>
    <t>emma.lyman@gmail.com</t>
  </si>
  <si>
    <t>eric.lambert@gmail.com</t>
  </si>
  <si>
    <t>Fiona</t>
  </si>
  <si>
    <t>fiona.davies@gmail.com</t>
  </si>
  <si>
    <t>james.burgess@gmail.com</t>
  </si>
  <si>
    <t>virginia.mcgrath@gmail.com</t>
  </si>
  <si>
    <t>madeleine.duncan@gmail.com</t>
  </si>
  <si>
    <t>leah.paige@gmail.com</t>
  </si>
  <si>
    <t>paul.macleod@gmail.com</t>
  </si>
  <si>
    <t>jonathan.sutherland@gmail.com</t>
  </si>
  <si>
    <t>kevin.murray@gmail.com</t>
  </si>
  <si>
    <t>Hannah</t>
  </si>
  <si>
    <t>hannah.payne@gmail.com</t>
  </si>
  <si>
    <t>jason.blake@gmail.com</t>
  </si>
  <si>
    <t>matt.walker@gmail.com</t>
  </si>
  <si>
    <t>ruth.gill@gmail.com</t>
  </si>
  <si>
    <t>thomas.fisher@gmail.com</t>
  </si>
  <si>
    <t>Diane</t>
  </si>
  <si>
    <t>diane.forsyth@gmail.com</t>
  </si>
  <si>
    <t>audrey.macleod@gmail.com</t>
  </si>
  <si>
    <t>edward.mills@gmail.com</t>
  </si>
  <si>
    <t>warren.dowd@gmail.com</t>
  </si>
  <si>
    <t>alan.vance@gmail.com</t>
  </si>
  <si>
    <t>Pippa</t>
  </si>
  <si>
    <t>pippa.wright@gmail.com</t>
  </si>
  <si>
    <t>carl.brown@gmail.com</t>
  </si>
  <si>
    <t>gordon.ross@gmail.com</t>
  </si>
  <si>
    <t>sarah.lee@gmail.com</t>
  </si>
  <si>
    <t>fiona.piper@gmail.com</t>
  </si>
  <si>
    <t>stephanie.thomson@gmail.com</t>
  </si>
  <si>
    <t>lisa.gibson@gmail.com</t>
  </si>
  <si>
    <t>Mathis</t>
  </si>
  <si>
    <t>virginia.mathis@gmail.com</t>
  </si>
  <si>
    <t>jason.simpson@gmail.com</t>
  </si>
  <si>
    <t>Maria</t>
  </si>
  <si>
    <t>maria.reid@gmail.com</t>
  </si>
  <si>
    <t>Kelly</t>
  </si>
  <si>
    <t>stephanie.kelly@gmail.com</t>
  </si>
  <si>
    <t>benjamin.graham@gmail.com</t>
  </si>
  <si>
    <t>Jake</t>
  </si>
  <si>
    <t>jake.dowd@gmail.com</t>
  </si>
  <si>
    <t>edward.parsons@gmail.com</t>
  </si>
  <si>
    <t>Alexander</t>
  </si>
  <si>
    <t>Buckland</t>
  </si>
  <si>
    <t>alexander.buckland@gmail.com</t>
  </si>
  <si>
    <t>rose.walker@gmail.com</t>
  </si>
  <si>
    <t>nicholas.parsons@gmail.com</t>
  </si>
  <si>
    <t>david.ince@gmail.com</t>
  </si>
  <si>
    <t>Ella</t>
  </si>
  <si>
    <t>ella.bell@gmail.com</t>
  </si>
  <si>
    <t>sue.metcalfe@gmail.com</t>
  </si>
  <si>
    <t>Marshall</t>
  </si>
  <si>
    <t>frank.marshall@gmail.com</t>
  </si>
  <si>
    <t>max.kerr@gmail.com</t>
  </si>
  <si>
    <t>maria.buckland@gmail.com</t>
  </si>
  <si>
    <t>karen.fisher@gmail.com</t>
  </si>
  <si>
    <t>ryan.ellison@gmail.com</t>
  </si>
  <si>
    <t>victoria.dowd@gmail.com</t>
  </si>
  <si>
    <t>Sebastian</t>
  </si>
  <si>
    <t>sebastian.king@gmail.com</t>
  </si>
  <si>
    <t>cameron.davidson@gmail.com</t>
  </si>
  <si>
    <t>carol.lambert@gmail.com</t>
  </si>
  <si>
    <t>joanne.lee@gmail.com</t>
  </si>
  <si>
    <t>richard.graham@gmail.com</t>
  </si>
  <si>
    <t>zoe.hunter@gmail.com</t>
  </si>
  <si>
    <t>ava.ellison@gmail.com</t>
  </si>
  <si>
    <t>rebecca.young@gmail.com</t>
  </si>
  <si>
    <t>madeleine.pullman@gmail.com</t>
  </si>
  <si>
    <t>kimberly.james@gmail.com</t>
  </si>
  <si>
    <t>ruth.martin@gmail.com</t>
  </si>
  <si>
    <t>grace.king@gmail.com</t>
  </si>
  <si>
    <t>leah.short@gmail.com</t>
  </si>
  <si>
    <t>Jones</t>
  </si>
  <si>
    <t>joan.jones@gmail.com</t>
  </si>
  <si>
    <t>Vaughan</t>
  </si>
  <si>
    <t>hannah.vaughan@gmail.com</t>
  </si>
  <si>
    <t>max.morrison@gmail.com</t>
  </si>
  <si>
    <t>White</t>
  </si>
  <si>
    <t>steven.white@gmail.com</t>
  </si>
  <si>
    <t>richard.macdonald@gmail.com</t>
  </si>
  <si>
    <t>Dominic</t>
  </si>
  <si>
    <t>dominic.mitchell@gmail.com</t>
  </si>
  <si>
    <t>Sanderson</t>
  </si>
  <si>
    <t>heather.sanderson@gmail.com</t>
  </si>
  <si>
    <t>Mackenzie</t>
  </si>
  <si>
    <t>alison.mackenzie@gmail.com</t>
  </si>
  <si>
    <t>boris.chapman@gmail.com</t>
  </si>
  <si>
    <t>Joseph</t>
  </si>
  <si>
    <t>joseph.manning@gmail.com</t>
  </si>
  <si>
    <t>Paterson</t>
  </si>
  <si>
    <t>lily.paterson@gmail.com</t>
  </si>
  <si>
    <t>bella.wilkins@gmail.com</t>
  </si>
  <si>
    <t>christopher.oliver@gmail.com</t>
  </si>
  <si>
    <t>gordon.gill@gmail.com</t>
  </si>
  <si>
    <t>ella.martin@gmail.com</t>
  </si>
  <si>
    <t>Kylie</t>
  </si>
  <si>
    <t>kylie.abraham@gmail.com</t>
  </si>
  <si>
    <t>charles.bell@gmail.com</t>
  </si>
  <si>
    <t>cameron.bailey@gmail.com</t>
  </si>
  <si>
    <t>stephanie.coleman@gmail.com</t>
  </si>
  <si>
    <t>Jack</t>
  </si>
  <si>
    <t>jack.ogden@gmail.com</t>
  </si>
  <si>
    <t>sam.wilson@gmail.com</t>
  </si>
  <si>
    <t>Sophie</t>
  </si>
  <si>
    <t>sophie.russell@gmail.com</t>
  </si>
  <si>
    <t>virginia.powell@gmail.com</t>
  </si>
  <si>
    <t>piers.sharp@gmail.com</t>
  </si>
  <si>
    <t>matt.stewart@gmail.com</t>
  </si>
  <si>
    <t>adrian.piper@gmail.com</t>
  </si>
  <si>
    <t>victor.davies@gmail.com</t>
  </si>
  <si>
    <t>sam.fisher@gmail.com</t>
  </si>
  <si>
    <t>Jan</t>
  </si>
  <si>
    <t>Tucker</t>
  </si>
  <si>
    <t>jan.tucker@gmail.com</t>
  </si>
  <si>
    <t>alexander.nash@gmail.com</t>
  </si>
  <si>
    <t>Henderson</t>
  </si>
  <si>
    <t>bella.henderson@gmail.com</t>
  </si>
  <si>
    <t>amanda.marshall@gmail.com</t>
  </si>
  <si>
    <t>joshua.wilson@gmail.com</t>
  </si>
  <si>
    <t>peter.scott@gmail.com</t>
  </si>
  <si>
    <t>carol.arnold@gmail.com</t>
  </si>
  <si>
    <t>lisa.macdonald@gmail.com</t>
  </si>
  <si>
    <t>dorothy.mclean@gmail.com</t>
  </si>
  <si>
    <t>dan.newman@gmail.com</t>
  </si>
  <si>
    <t>ian.mclean@gmail.com</t>
  </si>
  <si>
    <t>carl.slater@gmail.com</t>
  </si>
  <si>
    <t>hannah.scott@gmail.com</t>
  </si>
  <si>
    <t>deirdre.henderson@gmail.com</t>
  </si>
  <si>
    <t>luke.bailey@gmail.com</t>
  </si>
  <si>
    <t>william.glover@gmail.com</t>
  </si>
  <si>
    <t>Allan</t>
  </si>
  <si>
    <t>chloe.allan@gmail.com</t>
  </si>
  <si>
    <t>Ferguson</t>
  </si>
  <si>
    <t>robert.ferguson@gmail.com</t>
  </si>
  <si>
    <t>diane.ellison@gmail.com</t>
  </si>
  <si>
    <t>jasmine.mackay@gmail.com</t>
  </si>
  <si>
    <t>Carolyn</t>
  </si>
  <si>
    <t>carolyn.ince@gmail.com</t>
  </si>
  <si>
    <t>andrew.walker@gmail.com</t>
  </si>
  <si>
    <t>Katherine</t>
  </si>
  <si>
    <t>katherine.morgan@gmail.com</t>
  </si>
  <si>
    <t>william.macdonald@gmail.com</t>
  </si>
  <si>
    <t>keith.welch@gmail.com</t>
  </si>
  <si>
    <t>kylie.taylor@gmail.com</t>
  </si>
  <si>
    <t>tim.edmunds@gmail.com</t>
  </si>
  <si>
    <t>ryan.parsons@gmail.com</t>
  </si>
  <si>
    <t>carolyn.lewis@gmail.com</t>
  </si>
  <si>
    <t>warren.berry@gmail.com</t>
  </si>
  <si>
    <t>deirdre.harris@gmail.com</t>
  </si>
  <si>
    <t>sarah.dowd@gmail.com</t>
  </si>
  <si>
    <t>bernadette.buckland@gmail.com</t>
  </si>
  <si>
    <t>tim.hudson@gmail.com</t>
  </si>
  <si>
    <t>Natalie</t>
  </si>
  <si>
    <t>natalie.reid@gmail.com</t>
  </si>
  <si>
    <t>julia.watson@gmail.com</t>
  </si>
  <si>
    <t>hannah.burgess@gmail.com</t>
  </si>
  <si>
    <t>alan.johnston@gmail.com</t>
  </si>
  <si>
    <t>una.short@gmail.com</t>
  </si>
  <si>
    <t>jennifer.kelly@gmail.com</t>
  </si>
  <si>
    <t>May</t>
  </si>
  <si>
    <t>jack.may@gmail.com</t>
  </si>
  <si>
    <t>alexander.blake@gmail.com</t>
  </si>
  <si>
    <t>alexander.davidson@gmail.com</t>
  </si>
  <si>
    <t>blake.lambert@gmail.com</t>
  </si>
  <si>
    <t>sophie.burgess@gmail.com</t>
  </si>
  <si>
    <t>nathan.gibson@gmail.com</t>
  </si>
  <si>
    <t>virginia.glover@gmail.com</t>
  </si>
  <si>
    <t>Melanie</t>
  </si>
  <si>
    <t>melanie.grant@gmail.com</t>
  </si>
  <si>
    <t>ella.lewis@gmail.com</t>
  </si>
  <si>
    <t>Anna</t>
  </si>
  <si>
    <t>anna.reid@gmail.com</t>
  </si>
  <si>
    <t>ryan.burgess@gmail.com</t>
  </si>
  <si>
    <t>Megan</t>
  </si>
  <si>
    <t>megan.berry@gmail.com</t>
  </si>
  <si>
    <t>lauren.gray@gmail.com</t>
  </si>
  <si>
    <t>jennifer.gray@gmail.com</t>
  </si>
  <si>
    <t>andrew.glover@gmail.com</t>
  </si>
  <si>
    <t>Nicola</t>
  </si>
  <si>
    <t>nicola.may@gmail.com</t>
  </si>
  <si>
    <t>carolyn.gill@gmail.com</t>
  </si>
  <si>
    <t>virginia.wilson@gmail.com</t>
  </si>
  <si>
    <t>ella.grant@gmail.com</t>
  </si>
  <si>
    <t>michelle.buckland@gmail.com</t>
  </si>
  <si>
    <t>audrey.ogden@gmail.com</t>
  </si>
  <si>
    <t>vanessa.sharp@gmail.com</t>
  </si>
  <si>
    <t>simon.buckland@gmail.com</t>
  </si>
  <si>
    <t>sarah.welch@gmail.com</t>
  </si>
  <si>
    <t>Rachel</t>
  </si>
  <si>
    <t>rachel.stewart@gmail.com</t>
  </si>
  <si>
    <t>ella.oliver@gmail.com</t>
  </si>
  <si>
    <t>harry.vaughan@gmail.com</t>
  </si>
  <si>
    <t>james.oliver@gmail.com</t>
  </si>
  <si>
    <t>ava.langdon@gmail.com</t>
  </si>
  <si>
    <t>diane.randall@gmail.com</t>
  </si>
  <si>
    <t>richard.north@gmail.com</t>
  </si>
  <si>
    <t>Elizabeth</t>
  </si>
  <si>
    <t>elizabeth.roberts@gmail.com</t>
  </si>
  <si>
    <t>luke.langdon@gmail.com</t>
  </si>
  <si>
    <t>cameron.piper@gmail.com</t>
  </si>
  <si>
    <t>andrew.lawrence@gmail.com</t>
  </si>
  <si>
    <t>sebastian.paige@gmail.com</t>
  </si>
  <si>
    <t>nicola.harris@gmail.com</t>
  </si>
  <si>
    <t>tracey.mclean@gmail.com</t>
  </si>
  <si>
    <t>Gabrielle</t>
  </si>
  <si>
    <t>gabrielle.randall@gmail.com</t>
  </si>
  <si>
    <t>ava.buckland@gmail.com</t>
  </si>
  <si>
    <t>audrey.murray@gmail.com</t>
  </si>
  <si>
    <t>lucas.metcalfe@gmail.com</t>
  </si>
  <si>
    <t>jacob.rutherford@gmail.com</t>
  </si>
  <si>
    <t>emily.skinner@gmail.com</t>
  </si>
  <si>
    <t>heather.dyer@gmail.com</t>
  </si>
  <si>
    <t>Parr</t>
  </si>
  <si>
    <t>james.parr@gmail.com</t>
  </si>
  <si>
    <t>jennifer.ross@gmail.com</t>
  </si>
  <si>
    <t>austin.burgess@gmail.com</t>
  </si>
  <si>
    <t>Molly</t>
  </si>
  <si>
    <t>molly.bond@gmail.com</t>
  </si>
  <si>
    <t>grace.ferguson@gmail.com</t>
  </si>
  <si>
    <t>julian.sharp@gmail.com</t>
  </si>
  <si>
    <t>andrew.morgan@gmail.com</t>
  </si>
  <si>
    <t>sebastian.fraser@gmail.com</t>
  </si>
  <si>
    <t>matt.hunter@gmail.com</t>
  </si>
  <si>
    <t>claire.manning@gmail.com</t>
  </si>
  <si>
    <t>gavin.langdon@gmail.com</t>
  </si>
  <si>
    <t>zoe.smith@gmail.com</t>
  </si>
  <si>
    <t>Michael</t>
  </si>
  <si>
    <t>michael.henderson@gmail.com</t>
  </si>
  <si>
    <t>david.reid@gmail.com</t>
  </si>
  <si>
    <t>phil.blake@gmail.com</t>
  </si>
  <si>
    <t>Terry</t>
  </si>
  <si>
    <t>liam.terry@gmail.com</t>
  </si>
  <si>
    <t>joshua.bailey@gmail.com</t>
  </si>
  <si>
    <t>harry.king@gmail.com</t>
  </si>
  <si>
    <t>joe.dickens@gmail.com</t>
  </si>
  <si>
    <t>vanessa.murray@gmail.com</t>
  </si>
  <si>
    <t>leonard.knox@gmail.com</t>
  </si>
  <si>
    <t>boris.skinner@gmail.com</t>
  </si>
  <si>
    <t>brian.rampling@gmail.com</t>
  </si>
  <si>
    <t>angela.berry@gmail.com</t>
  </si>
  <si>
    <t>steven.dyer@gmail.com</t>
  </si>
  <si>
    <t>nicholas.brown@gmail.com</t>
  </si>
  <si>
    <t>lisa.ellison@gmail.com</t>
  </si>
  <si>
    <t>edward.may@gmail.com</t>
  </si>
  <si>
    <t>justin.newman@gmail.com</t>
  </si>
  <si>
    <t>harry.ball@gmail.com</t>
  </si>
  <si>
    <t>joseph.walsh@gmail.com</t>
  </si>
  <si>
    <t>faith.marshall@gmail.com</t>
  </si>
  <si>
    <t>grace.ross@gmail.com</t>
  </si>
  <si>
    <t>diana.macdonald@gmail.com</t>
  </si>
  <si>
    <t>alexander.randall@gmail.com</t>
  </si>
  <si>
    <t>evan.chapman@gmail.com</t>
  </si>
  <si>
    <t>abigail.hart@gmail.com</t>
  </si>
  <si>
    <t>ava.paige@gmail.com</t>
  </si>
  <si>
    <t>michael.edmunds@gmail.com</t>
  </si>
  <si>
    <t>neil.gibson@gmail.com</t>
  </si>
  <si>
    <t>grace.henderson@gmail.com</t>
  </si>
  <si>
    <t>gavin.peake@gmail.com</t>
  </si>
  <si>
    <t>rose.macleod@gmail.com</t>
  </si>
  <si>
    <t>irene.alsop@gmail.com</t>
  </si>
  <si>
    <t>elizabeth.wright@gmail.com</t>
  </si>
  <si>
    <t>nicola.paterson@gmail.com</t>
  </si>
  <si>
    <t>katherine.scott@gmail.com</t>
  </si>
  <si>
    <t>gordon.ince@gmail.com</t>
  </si>
  <si>
    <t>frank.young@gmail.com</t>
  </si>
  <si>
    <t>ian.morrison@gmail.com</t>
  </si>
  <si>
    <t>amanda.may@gmail.com</t>
  </si>
  <si>
    <t>luke.lawrence@gmail.com</t>
  </si>
  <si>
    <t>maria.hamilton@gmail.com</t>
  </si>
  <si>
    <t>blake.carr@gmail.com</t>
  </si>
  <si>
    <t>carol.brown@gmail.com</t>
  </si>
  <si>
    <t>karen.mackay@gmail.com</t>
  </si>
  <si>
    <t>james.mcgrath@gmail.com</t>
  </si>
  <si>
    <t>heather.gill@gmail.com</t>
  </si>
  <si>
    <t>stephen.james@gmail.com</t>
  </si>
  <si>
    <t>william.churchill@gmail.com</t>
  </si>
  <si>
    <t>stewart.wallace@gmail.com</t>
  </si>
  <si>
    <t>pippa.bell@gmail.com</t>
  </si>
  <si>
    <t>elizabeth.ince@gmail.com</t>
  </si>
  <si>
    <t>joanne.ferguson@gmail.com</t>
  </si>
  <si>
    <t>adrian.king@gmail.com</t>
  </si>
  <si>
    <t>william.edmunds@gmail.com</t>
  </si>
  <si>
    <t>dominic.hunter@gmail.com</t>
  </si>
  <si>
    <t>sally.bell@gmail.com</t>
  </si>
  <si>
    <t>katherine.nolan@gmail.com</t>
  </si>
  <si>
    <t>sean.morgan@gmail.com</t>
  </si>
  <si>
    <t>heather.dickens@gmail.com</t>
  </si>
  <si>
    <t>piers.ellison@gmail.com</t>
  </si>
  <si>
    <t>tim.macdonald@gmail.com</t>
  </si>
  <si>
    <t>victoria.hughes@gmail.com</t>
  </si>
  <si>
    <t>emily.metcalfe@gmail.com</t>
  </si>
  <si>
    <t>julian.morrison@gmail.com</t>
  </si>
  <si>
    <t>angela.mcdonald@gmail.com</t>
  </si>
  <si>
    <t>justin.davidson@gmail.com</t>
  </si>
  <si>
    <t>lisa.wilkins@gmail.com</t>
  </si>
  <si>
    <t>william.knox@gmail.com</t>
  </si>
  <si>
    <t>bernadette.fisher@gmail.com</t>
  </si>
  <si>
    <t>thomas.hart@gmail.com</t>
  </si>
  <si>
    <t>theresa.mackenzie@gmail.com</t>
  </si>
  <si>
    <t>karen.smith@gmail.com</t>
  </si>
  <si>
    <t>phil.lyman@gmail.com</t>
  </si>
  <si>
    <t>james.kerr@gmail.com</t>
  </si>
  <si>
    <t>zoe.dickens@gmail.com</t>
  </si>
  <si>
    <t>abigail.jones@gmail.com</t>
  </si>
  <si>
    <t>joe.mills@gmail.com</t>
  </si>
  <si>
    <t>gabrielle.cameron@gmail.com</t>
  </si>
  <si>
    <t>madeleine.lee@gmail.com</t>
  </si>
  <si>
    <t>andrew.davidson@gmail.com</t>
  </si>
  <si>
    <t>fiona.hart@gmail.com</t>
  </si>
  <si>
    <t>justin.cornish@gmail.com</t>
  </si>
  <si>
    <t>amelia.sutherland@gmail.com</t>
  </si>
  <si>
    <t>jennifer.robertson@gmail.com</t>
  </si>
  <si>
    <t>zoe.hart@gmail.com</t>
  </si>
  <si>
    <t>Owen</t>
  </si>
  <si>
    <t>owen.rees@gmail.com</t>
  </si>
  <si>
    <t>Baker</t>
  </si>
  <si>
    <t>dylan.baker@gmail.com</t>
  </si>
  <si>
    <t>yvonne.simpson@gmail.com</t>
  </si>
  <si>
    <t>mary.oliver@gmail.com</t>
  </si>
  <si>
    <t>owen.wilkins@gmail.com</t>
  </si>
  <si>
    <t>donna.abraham@gmail.com</t>
  </si>
  <si>
    <t>donna.peters@gmail.com</t>
  </si>
  <si>
    <t>matt.paige@gmail.com</t>
  </si>
  <si>
    <t>carolyn.parsons@gmail.com</t>
  </si>
  <si>
    <t>irene.mclean@gmail.com</t>
  </si>
  <si>
    <t>bernadette.hart@gmail.com</t>
  </si>
  <si>
    <t>andrea.chapman@gmail.com</t>
  </si>
  <si>
    <t>audrey.allan@gmail.com</t>
  </si>
  <si>
    <t>joan.russell@gmail.com</t>
  </si>
  <si>
    <t>charles.peters@gmail.com</t>
  </si>
  <si>
    <t>luke.anderson@gmail.com</t>
  </si>
  <si>
    <t>amelia.peake@gmail.com</t>
  </si>
  <si>
    <t>simon.walsh@gmail.com</t>
  </si>
  <si>
    <t>warren.carr@gmail.com</t>
  </si>
  <si>
    <t>sam.ince@gmail.com</t>
  </si>
  <si>
    <t>faith.poole@gmail.com</t>
  </si>
  <si>
    <t>wendy.tucker@gmail.com</t>
  </si>
  <si>
    <t>diana.gibson@gmail.com</t>
  </si>
  <si>
    <t>sean.clark@gmail.com</t>
  </si>
  <si>
    <t>tracey.mcdonald@gmail.com</t>
  </si>
  <si>
    <t>jan.randall@gmail.com</t>
  </si>
  <si>
    <t>Brandon</t>
  </si>
  <si>
    <t>brandon.underwood@gmail.com</t>
  </si>
  <si>
    <t>diane.mitchell@gmail.com</t>
  </si>
  <si>
    <t>alison.cornish@gmail.com</t>
  </si>
  <si>
    <t>keith.hughes@gmail.com</t>
  </si>
  <si>
    <t>evan.rees@gmail.com</t>
  </si>
  <si>
    <t>lillian.parr@gmail.com</t>
  </si>
  <si>
    <t>simon.morgan@gmail.com</t>
  </si>
  <si>
    <t>donna.lawrence@gmail.com</t>
  </si>
  <si>
    <t>eric.martin@gmail.com</t>
  </si>
  <si>
    <t>grace.hill@gmail.com</t>
  </si>
  <si>
    <t>lauren.davidson@gmail.com</t>
  </si>
  <si>
    <t>warren.mackenzie@gmail.com</t>
  </si>
  <si>
    <t>colin.jones@gmail.com</t>
  </si>
  <si>
    <t>christopher.gibson@gmail.com</t>
  </si>
  <si>
    <t>justin.clark@gmail.com</t>
  </si>
  <si>
    <t>boris.alsop@gmail.com</t>
  </si>
  <si>
    <t>sally.rampling@gmail.com</t>
  </si>
  <si>
    <t>christopher.mackenzie@gmail.com</t>
  </si>
  <si>
    <t>diana.langdon@gmail.com</t>
  </si>
  <si>
    <t>jonathan.anderson@gmail.com</t>
  </si>
  <si>
    <t>melanie.slater@gmail.com</t>
  </si>
  <si>
    <t>michael.rutherford@gmail.com</t>
  </si>
  <si>
    <t>sean.rampling@gmail.com</t>
  </si>
  <si>
    <t>deirdre.sharp@gmail.com</t>
  </si>
  <si>
    <t>oliver.hart@gmail.com</t>
  </si>
  <si>
    <t>alan.rutherford@gmail.com</t>
  </si>
  <si>
    <t>joanne.payne@gmail.com</t>
  </si>
  <si>
    <t>luke.vaughan@gmail.com</t>
  </si>
  <si>
    <t>wanda.kerr@gmail.com</t>
  </si>
  <si>
    <t>yvonne.rees@gmail.com</t>
  </si>
  <si>
    <t>frank.knox@gmail.com</t>
  </si>
  <si>
    <t>natalie.dyer@gmail.com</t>
  </si>
  <si>
    <t>gavin.graham@gmail.com</t>
  </si>
  <si>
    <t>alison.walker@gmail.com</t>
  </si>
  <si>
    <t>alexander.may@gmail.com</t>
  </si>
  <si>
    <t>claire.hudson@gmail.com</t>
  </si>
  <si>
    <t>alison.rees@gmail.com</t>
  </si>
  <si>
    <t>stephen.abraham@gmail.com</t>
  </si>
  <si>
    <t>bella.davidson@gmail.com</t>
  </si>
  <si>
    <t>anthony.watson@gmail.com</t>
  </si>
  <si>
    <t>adam.lawrence@gmail.com</t>
  </si>
  <si>
    <t>claire.edmunds@gmail.com</t>
  </si>
  <si>
    <t>max.ogden@gmail.com</t>
  </si>
  <si>
    <t>amelia.powell@gmail.com</t>
  </si>
  <si>
    <t>sean.parr@gmail.com</t>
  </si>
  <si>
    <t>harry.davidson@gmail.com</t>
  </si>
  <si>
    <t>sebastian.edmunds@gmail.com</t>
  </si>
  <si>
    <t>sebastian.rees@gmail.com</t>
  </si>
  <si>
    <t>sarah.simpson@gmail.com</t>
  </si>
  <si>
    <t>Amy</t>
  </si>
  <si>
    <t>amy.rutherford@gmail.com</t>
  </si>
  <si>
    <t>liam.bailey@gmail.com</t>
  </si>
  <si>
    <t>blake.skinner@gmail.com</t>
  </si>
  <si>
    <t>julian.wright@gmail.com</t>
  </si>
  <si>
    <t>vanessa.oliver@gmail.com</t>
  </si>
  <si>
    <t>ryan.simpson@gmail.com</t>
  </si>
  <si>
    <t>owen.welch@gmail.com</t>
  </si>
  <si>
    <t>benjamin.paige@gmail.com</t>
  </si>
  <si>
    <t>dan.carr@gmail.com</t>
  </si>
  <si>
    <t>joanne.alsop@gmail.com</t>
  </si>
  <si>
    <t>tracey.ball@gmail.com</t>
  </si>
  <si>
    <t>liam.baker@gmail.com</t>
  </si>
  <si>
    <t>stephanie.russell@gmail.com</t>
  </si>
  <si>
    <t>matt.wilkins@gmail.com</t>
  </si>
  <si>
    <t>wanda.white@gmail.com</t>
  </si>
  <si>
    <t>Jackson</t>
  </si>
  <si>
    <t>trevor.jackson@gmail.com</t>
  </si>
  <si>
    <t>faith.tucker@gmail.com</t>
  </si>
  <si>
    <t>Miller</t>
  </si>
  <si>
    <t>ruth.miller@gmail.com</t>
  </si>
  <si>
    <t>ryan.poole@gmail.com</t>
  </si>
  <si>
    <t>phil.rees@gmail.com</t>
  </si>
  <si>
    <t>fiona.hudson@gmail.com</t>
  </si>
  <si>
    <t>julian.bell@gmail.com</t>
  </si>
  <si>
    <t>john.watson@gmail.com</t>
  </si>
  <si>
    <t>mary.scott@gmail.com</t>
  </si>
  <si>
    <t>jasmine.springer@gmail.com</t>
  </si>
  <si>
    <t>isaac.welch@gmail.com</t>
  </si>
  <si>
    <t>sally.peters@gmail.com</t>
  </si>
  <si>
    <t>lillian.burgess@gmail.com</t>
  </si>
  <si>
    <t>sue.black@gmail.com</t>
  </si>
  <si>
    <t>thomas.lewis@gmail.com</t>
  </si>
  <si>
    <t>Hodges</t>
  </si>
  <si>
    <t>joshua.hodges@gmail.com</t>
  </si>
  <si>
    <t>sam.lyman@gmail.com</t>
  </si>
  <si>
    <t>sally.knox@gmail.com</t>
  </si>
  <si>
    <t>anthony.baker@gmail.com</t>
  </si>
  <si>
    <t>max.underwood@gmail.com</t>
  </si>
  <si>
    <t>robert.payne@gmail.com</t>
  </si>
  <si>
    <t>penelope.welch@gmail.com</t>
  </si>
  <si>
    <t>sally.ball@gmail.com</t>
  </si>
  <si>
    <t>virginia.jackson@gmail.com</t>
  </si>
  <si>
    <t>emily.hill@gmail.com</t>
  </si>
  <si>
    <t>carolyn.ferguson@gmail.com</t>
  </si>
  <si>
    <t>trevor.welch@gmail.com</t>
  </si>
  <si>
    <t>neil.powell@gmail.com</t>
  </si>
  <si>
    <t>adrian.carr@gmail.com</t>
  </si>
  <si>
    <t>leonard.wilkins@gmail.com</t>
  </si>
  <si>
    <t>Felicity</t>
  </si>
  <si>
    <t>felicity.mcdonald@gmail.com</t>
  </si>
  <si>
    <t>ryan.mathis@gmail.com</t>
  </si>
  <si>
    <t>donna.clarkson@gmail.com</t>
  </si>
  <si>
    <t>joe.knox@gmail.com</t>
  </si>
  <si>
    <t>blake.manning@gmail.com</t>
  </si>
  <si>
    <t>bernadette.mcgrath@gmail.com</t>
  </si>
  <si>
    <t>william.paterson@gmail.com</t>
  </si>
  <si>
    <t>una.lawrence@gmail.com</t>
  </si>
  <si>
    <t>gavin.dyer@gmail.com</t>
  </si>
  <si>
    <t>wanda.arnold@gmail.com</t>
  </si>
  <si>
    <t>william.abraham@gmail.com</t>
  </si>
  <si>
    <t>audrey.jones@gmail.com</t>
  </si>
  <si>
    <t>trevor.randall@gmail.com</t>
  </si>
  <si>
    <t>owen.hughes@gmail.com</t>
  </si>
  <si>
    <t>gavin.newman@gmail.com</t>
  </si>
  <si>
    <t>joan.parr@gmail.com</t>
  </si>
  <si>
    <t>peter.ellison@gmail.com</t>
  </si>
  <si>
    <t>emma.henderson@gmail.com</t>
  </si>
  <si>
    <t>diane.rees@gmail.com</t>
  </si>
  <si>
    <t>maria.churchill@gmail.com</t>
  </si>
  <si>
    <t>sonia.howard@gmail.com</t>
  </si>
  <si>
    <t>anna.brown@gmail.com</t>
  </si>
  <si>
    <t>una.sutherland@gmail.com</t>
  </si>
  <si>
    <t>victoria.duncan@gmail.com</t>
  </si>
  <si>
    <t>carl.ellison@gmail.com</t>
  </si>
  <si>
    <t>madeleine.robertson@gmail.com</t>
  </si>
  <si>
    <t>sam.payne@gmail.com</t>
  </si>
  <si>
    <t>audrey.reid@gmail.com</t>
  </si>
  <si>
    <t>jennifer.greene@gmail.com</t>
  </si>
  <si>
    <t>gavin.dickens@gmail.com</t>
  </si>
  <si>
    <t>eric.hill@gmail.com</t>
  </si>
  <si>
    <t>connor.morgan@gmail.com</t>
  </si>
  <si>
    <t>Email ID</t>
  </si>
  <si>
    <t>State</t>
  </si>
  <si>
    <t>bihar</t>
  </si>
  <si>
    <t>puducherry</t>
  </si>
  <si>
    <t>gujarat</t>
  </si>
  <si>
    <t>delhi</t>
  </si>
  <si>
    <t>Postal Code</t>
  </si>
  <si>
    <t>81 31 08</t>
  </si>
  <si>
    <t>60 50 01</t>
  </si>
  <si>
    <t>38 84 21</t>
  </si>
  <si>
    <t>11 00 07</t>
  </si>
  <si>
    <t>Order Date</t>
  </si>
  <si>
    <t>Unit Sold</t>
  </si>
  <si>
    <t>Sale Price</t>
  </si>
  <si>
    <t>Product Name</t>
  </si>
  <si>
    <t>Dell Inspiron 15</t>
  </si>
  <si>
    <t>Lenovo IdeaPad Slim 3i</t>
  </si>
  <si>
    <t>Mi NoteBook Ultra</t>
  </si>
  <si>
    <t>Samsung Galaxy Go</t>
  </si>
  <si>
    <t>Acer Aspire 3</t>
  </si>
  <si>
    <t>Order ID</t>
  </si>
  <si>
    <t>Status</t>
  </si>
  <si>
    <t>Shipped</t>
  </si>
  <si>
    <t>Ship Date</t>
  </si>
  <si>
    <t>Column1</t>
  </si>
  <si>
    <t xml:space="preserve">India </t>
  </si>
  <si>
    <t xml:space="preserve"> East</t>
  </si>
  <si>
    <t xml:space="preserve"> South</t>
  </si>
  <si>
    <t xml:space="preserve"> West</t>
  </si>
  <si>
    <t xml:space="preserve"> North</t>
  </si>
  <si>
    <t>Country</t>
  </si>
  <si>
    <t>Region</t>
  </si>
  <si>
    <t>column12</t>
  </si>
  <si>
    <t>Row Labels</t>
  </si>
  <si>
    <t>(blank)</t>
  </si>
  <si>
    <t>Grand Total</t>
  </si>
  <si>
    <t>Count of Sale Price</t>
  </si>
  <si>
    <t>Sum of Sale Price</t>
  </si>
  <si>
    <t>&lt;02-01-2020</t>
  </si>
  <si>
    <t>Feb</t>
  </si>
  <si>
    <t>Mar</t>
  </si>
  <si>
    <t>Apr</t>
  </si>
  <si>
    <t>Jun</t>
  </si>
  <si>
    <t>Count of Order ID</t>
  </si>
  <si>
    <t>Sum of 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</si>
</sst>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Red]&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49"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164" formatCode="&quot;₹&quot;\ #,##0.00;[Red]&quot;₹&quot;\ \-#,##0.00"/>
    </dxf>
    <dxf>
      <numFmt numFmtId="165" formatCode="dd/mm/yyyy"/>
    </dxf>
    <dxf>
      <numFmt numFmtId="165"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Based On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Acer Aspire 3</c:v>
                </c:pt>
                <c:pt idx="1">
                  <c:v>Dell Inspiron 15</c:v>
                </c:pt>
                <c:pt idx="2">
                  <c:v>Lenovo IdeaPad Slim 3i</c:v>
                </c:pt>
                <c:pt idx="3">
                  <c:v>Mi NoteBook Ultra</c:v>
                </c:pt>
                <c:pt idx="4">
                  <c:v>Samsung Galaxy Go</c:v>
                </c:pt>
                <c:pt idx="5">
                  <c:v>(blank)</c:v>
                </c:pt>
              </c:strCache>
            </c:strRef>
          </c:cat>
          <c:val>
            <c:numRef>
              <c:f>Sheet1!$B$4:$B$10</c:f>
              <c:numCache>
                <c:formatCode>General</c:formatCode>
                <c:ptCount val="6"/>
                <c:pt idx="0">
                  <c:v>6938440</c:v>
                </c:pt>
                <c:pt idx="1">
                  <c:v>12861888</c:v>
                </c:pt>
                <c:pt idx="2">
                  <c:v>2844580</c:v>
                </c:pt>
                <c:pt idx="3">
                  <c:v>8119860</c:v>
                </c:pt>
                <c:pt idx="4">
                  <c:v>3994920</c:v>
                </c:pt>
                <c:pt idx="5">
                  <c:v>#N/A</c:v>
                </c:pt>
              </c:numCache>
            </c:numRef>
          </c:val>
          <c:extLst>
            <c:ext xmlns:c16="http://schemas.microsoft.com/office/drawing/2014/chart" uri="{C3380CC4-5D6E-409C-BE32-E72D297353CC}">
              <c16:uniqueId val="{00000000-D46E-4295-87DA-801EEC34623B}"/>
            </c:ext>
          </c:extLst>
        </c:ser>
        <c:dLbls>
          <c:dLblPos val="outEnd"/>
          <c:showLegendKey val="0"/>
          <c:showVal val="1"/>
          <c:showCatName val="0"/>
          <c:showSerName val="0"/>
          <c:showPercent val="0"/>
          <c:showBubbleSize val="0"/>
        </c:dLbls>
        <c:gapWidth val="219"/>
        <c:overlap val="-27"/>
        <c:axId val="1021416528"/>
        <c:axId val="1021429008"/>
      </c:barChart>
      <c:catAx>
        <c:axId val="102141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29008"/>
        <c:crosses val="autoZero"/>
        <c:auto val="1"/>
        <c:lblAlgn val="ctr"/>
        <c:lblOffset val="100"/>
        <c:noMultiLvlLbl val="0"/>
      </c:catAx>
      <c:valAx>
        <c:axId val="102142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EXCEL.xlsx]Sheet2!PivotTable2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12-4D6F-B37D-B055464DFC7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12-4D6F-B37D-B055464DFC7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12-4D6F-B37D-B055464DFC78}"/>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12-4D6F-B37D-B055464DFC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 East</c:v>
                </c:pt>
                <c:pt idx="1">
                  <c:v> North</c:v>
                </c:pt>
                <c:pt idx="2">
                  <c:v> South</c:v>
                </c:pt>
                <c:pt idx="3">
                  <c:v> West</c:v>
                </c:pt>
              </c:strCache>
            </c:strRef>
          </c:cat>
          <c:val>
            <c:numRef>
              <c:f>Sheet2!$B$4:$B$8</c:f>
              <c:numCache>
                <c:formatCode>General</c:formatCode>
                <c:ptCount val="4"/>
                <c:pt idx="0">
                  <c:v>10621809</c:v>
                </c:pt>
                <c:pt idx="1">
                  <c:v>6595677</c:v>
                </c:pt>
                <c:pt idx="2">
                  <c:v>4961551</c:v>
                </c:pt>
                <c:pt idx="3">
                  <c:v>12580651</c:v>
                </c:pt>
              </c:numCache>
            </c:numRef>
          </c:val>
          <c:extLst>
            <c:ext xmlns:c16="http://schemas.microsoft.com/office/drawing/2014/chart" uri="{C3380CC4-5D6E-409C-BE32-E72D297353CC}">
              <c16:uniqueId val="{00000000-ACD9-4960-9617-2C9020CD4C9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bihar</c:v>
                </c:pt>
                <c:pt idx="1">
                  <c:v>delhi</c:v>
                </c:pt>
                <c:pt idx="2">
                  <c:v>gujarat</c:v>
                </c:pt>
                <c:pt idx="3">
                  <c:v>puducherry</c:v>
                </c:pt>
              </c:strCache>
            </c:strRef>
          </c:cat>
          <c:val>
            <c:numRef>
              <c:f>Sheet3!$B$4:$B$8</c:f>
              <c:numCache>
                <c:formatCode>General</c:formatCode>
                <c:ptCount val="4"/>
                <c:pt idx="0">
                  <c:v>215</c:v>
                </c:pt>
                <c:pt idx="1">
                  <c:v>131</c:v>
                </c:pt>
                <c:pt idx="2">
                  <c:v>255</c:v>
                </c:pt>
                <c:pt idx="3">
                  <c:v>99</c:v>
                </c:pt>
              </c:numCache>
            </c:numRef>
          </c:val>
          <c:extLst>
            <c:ext xmlns:c16="http://schemas.microsoft.com/office/drawing/2014/chart" uri="{C3380CC4-5D6E-409C-BE32-E72D297353CC}">
              <c16:uniqueId val="{00000000-19BA-4297-9185-A1589570D26D}"/>
            </c:ext>
          </c:extLst>
        </c:ser>
        <c:dLbls>
          <c:dLblPos val="outEnd"/>
          <c:showLegendKey val="0"/>
          <c:showVal val="1"/>
          <c:showCatName val="0"/>
          <c:showSerName val="0"/>
          <c:showPercent val="0"/>
          <c:showBubbleSize val="0"/>
        </c:dLbls>
        <c:gapWidth val="219"/>
        <c:overlap val="-27"/>
        <c:axId val="1021431920"/>
        <c:axId val="1021434000"/>
      </c:barChart>
      <c:catAx>
        <c:axId val="102143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34000"/>
        <c:crosses val="autoZero"/>
        <c:auto val="1"/>
        <c:lblAlgn val="ctr"/>
        <c:lblOffset val="100"/>
        <c:noMultiLvlLbl val="0"/>
      </c:catAx>
      <c:valAx>
        <c:axId val="102143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43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EXCEL.xlsx]Sheet4!PivotTable4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&lt;02-01-2020</c:v>
                </c:pt>
                <c:pt idx="1">
                  <c:v>Jan</c:v>
                </c:pt>
                <c:pt idx="2">
                  <c:v>Feb</c:v>
                </c:pt>
                <c:pt idx="3">
                  <c:v>Mar</c:v>
                </c:pt>
                <c:pt idx="4">
                  <c:v>Apr</c:v>
                </c:pt>
                <c:pt idx="5">
                  <c:v>May</c:v>
                </c:pt>
                <c:pt idx="6">
                  <c:v>Jun</c:v>
                </c:pt>
              </c:strCache>
            </c:strRef>
          </c:cat>
          <c:val>
            <c:numRef>
              <c:f>Sheet4!$B$4:$B$11</c:f>
              <c:numCache>
                <c:formatCode>General</c:formatCode>
                <c:ptCount val="7"/>
                <c:pt idx="0">
                  <c:v>235</c:v>
                </c:pt>
                <c:pt idx="1">
                  <c:v>154</c:v>
                </c:pt>
                <c:pt idx="2">
                  <c:v>69</c:v>
                </c:pt>
                <c:pt idx="3">
                  <c:v>95</c:v>
                </c:pt>
                <c:pt idx="4">
                  <c:v>127</c:v>
                </c:pt>
                <c:pt idx="5">
                  <c:v>167</c:v>
                </c:pt>
                <c:pt idx="6">
                  <c:v>88</c:v>
                </c:pt>
              </c:numCache>
            </c:numRef>
          </c:val>
          <c:smooth val="0"/>
          <c:extLst>
            <c:ext xmlns:c16="http://schemas.microsoft.com/office/drawing/2014/chart" uri="{C3380CC4-5D6E-409C-BE32-E72D297353CC}">
              <c16:uniqueId val="{00000000-284C-4947-A3BD-9B2FC3D5B384}"/>
            </c:ext>
          </c:extLst>
        </c:ser>
        <c:dLbls>
          <c:dLblPos val="t"/>
          <c:showLegendKey val="0"/>
          <c:showVal val="1"/>
          <c:showCatName val="0"/>
          <c:showSerName val="0"/>
          <c:showPercent val="0"/>
          <c:showBubbleSize val="0"/>
        </c:dLbls>
        <c:marker val="1"/>
        <c:smooth val="0"/>
        <c:axId val="1240935312"/>
        <c:axId val="1240930736"/>
      </c:lineChart>
      <c:catAx>
        <c:axId val="1240935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30736"/>
        <c:crosses val="autoZero"/>
        <c:auto val="1"/>
        <c:lblAlgn val="ctr"/>
        <c:lblOffset val="100"/>
        <c:noMultiLvlLbl val="0"/>
      </c:catAx>
      <c:valAx>
        <c:axId val="124093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3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 ORDERS VS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 Price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Jan</c:v>
                </c:pt>
                <c:pt idx="1">
                  <c:v>Feb</c:v>
                </c:pt>
                <c:pt idx="2">
                  <c:v>Mar</c:v>
                </c:pt>
                <c:pt idx="3">
                  <c:v>Apr</c:v>
                </c:pt>
                <c:pt idx="4">
                  <c:v>May</c:v>
                </c:pt>
                <c:pt idx="5">
                  <c:v>Jun</c:v>
                </c:pt>
              </c:strCache>
            </c:strRef>
          </c:cat>
          <c:val>
            <c:numRef>
              <c:f>Sheet5!$B$4:$B$10</c:f>
              <c:numCache>
                <c:formatCode>General</c:formatCode>
                <c:ptCount val="6"/>
                <c:pt idx="0">
                  <c:v>7645177</c:v>
                </c:pt>
                <c:pt idx="1">
                  <c:v>3362008</c:v>
                </c:pt>
                <c:pt idx="2">
                  <c:v>4678337</c:v>
                </c:pt>
                <c:pt idx="3">
                  <c:v>6374418</c:v>
                </c:pt>
                <c:pt idx="4">
                  <c:v>8393328</c:v>
                </c:pt>
                <c:pt idx="5">
                  <c:v>4306420</c:v>
                </c:pt>
              </c:numCache>
            </c:numRef>
          </c:val>
          <c:extLst>
            <c:ext xmlns:c16="http://schemas.microsoft.com/office/drawing/2014/chart" uri="{C3380CC4-5D6E-409C-BE32-E72D297353CC}">
              <c16:uniqueId val="{00000000-A2AB-4CAD-8BC8-E55F30184357}"/>
            </c:ext>
          </c:extLst>
        </c:ser>
        <c:dLbls>
          <c:showLegendKey val="0"/>
          <c:showVal val="1"/>
          <c:showCatName val="0"/>
          <c:showSerName val="0"/>
          <c:showPercent val="0"/>
          <c:showBubbleSize val="0"/>
        </c:dLbls>
        <c:gapWidth val="219"/>
        <c:overlap val="-27"/>
        <c:axId val="1336009280"/>
        <c:axId val="1336010944"/>
      </c:barChart>
      <c:lineChart>
        <c:grouping val="standard"/>
        <c:varyColors val="0"/>
        <c:ser>
          <c:idx val="1"/>
          <c:order val="1"/>
          <c:tx>
            <c:strRef>
              <c:f>Sheet5!$C$3</c:f>
              <c:strCache>
                <c:ptCount val="1"/>
                <c:pt idx="0">
                  <c:v>Count of Order ID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Jan</c:v>
                </c:pt>
                <c:pt idx="1">
                  <c:v>Feb</c:v>
                </c:pt>
                <c:pt idx="2">
                  <c:v>Mar</c:v>
                </c:pt>
                <c:pt idx="3">
                  <c:v>Apr</c:v>
                </c:pt>
                <c:pt idx="4">
                  <c:v>May</c:v>
                </c:pt>
                <c:pt idx="5">
                  <c:v>Jun</c:v>
                </c:pt>
              </c:strCache>
            </c:strRef>
          </c:cat>
          <c:val>
            <c:numRef>
              <c:f>Sheet5!$C$4:$C$10</c:f>
              <c:numCache>
                <c:formatCode>General</c:formatCode>
                <c:ptCount val="6"/>
                <c:pt idx="0">
                  <c:v>154</c:v>
                </c:pt>
                <c:pt idx="1">
                  <c:v>69</c:v>
                </c:pt>
                <c:pt idx="2">
                  <c:v>95</c:v>
                </c:pt>
                <c:pt idx="3">
                  <c:v>127</c:v>
                </c:pt>
                <c:pt idx="4">
                  <c:v>167</c:v>
                </c:pt>
                <c:pt idx="5">
                  <c:v>88</c:v>
                </c:pt>
              </c:numCache>
            </c:numRef>
          </c:val>
          <c:smooth val="0"/>
          <c:extLst>
            <c:ext xmlns:c16="http://schemas.microsoft.com/office/drawing/2014/chart" uri="{C3380CC4-5D6E-409C-BE32-E72D297353CC}">
              <c16:uniqueId val="{00000001-A2AB-4CAD-8BC8-E55F30184357}"/>
            </c:ext>
          </c:extLst>
        </c:ser>
        <c:dLbls>
          <c:showLegendKey val="0"/>
          <c:showVal val="1"/>
          <c:showCatName val="0"/>
          <c:showSerName val="0"/>
          <c:showPercent val="0"/>
          <c:showBubbleSize val="0"/>
        </c:dLbls>
        <c:marker val="1"/>
        <c:smooth val="0"/>
        <c:axId val="1336011776"/>
        <c:axId val="1336011360"/>
      </c:lineChart>
      <c:catAx>
        <c:axId val="133600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10944"/>
        <c:crosses val="autoZero"/>
        <c:auto val="1"/>
        <c:lblAlgn val="ctr"/>
        <c:lblOffset val="100"/>
        <c:noMultiLvlLbl val="0"/>
      </c:catAx>
      <c:valAx>
        <c:axId val="133601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09280"/>
        <c:crosses val="autoZero"/>
        <c:crossBetween val="between"/>
      </c:valAx>
      <c:valAx>
        <c:axId val="13360113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11776"/>
        <c:crosses val="max"/>
        <c:crossBetween val="between"/>
      </c:valAx>
      <c:catAx>
        <c:axId val="1336011776"/>
        <c:scaling>
          <c:orientation val="minMax"/>
        </c:scaling>
        <c:delete val="1"/>
        <c:axPos val="b"/>
        <c:numFmt formatCode="General" sourceLinked="1"/>
        <c:majorTickMark val="none"/>
        <c:minorTickMark val="none"/>
        <c:tickLblPos val="nextTo"/>
        <c:crossAx val="13360113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EXCEL.xlsx]Sheet1!PivotTable1</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800">
                <a:latin typeface="Times New Roman" panose="02020603050405020304" pitchFamily="18" charset="0"/>
                <a:cs typeface="Times New Roman" panose="02020603050405020304" pitchFamily="18" charset="0"/>
              </a:rPr>
              <a:t>SALES</a:t>
            </a:r>
            <a:r>
              <a:rPr lang="en-US" sz="1800" baseline="0">
                <a:latin typeface="Times New Roman" panose="02020603050405020304" pitchFamily="18" charset="0"/>
                <a:cs typeface="Times New Roman" panose="02020603050405020304" pitchFamily="18" charset="0"/>
              </a:rPr>
              <a:t> BASED ON PRODUCTS</a:t>
            </a:r>
            <a:endParaRPr lang="en-US" sz="18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Acer Aspire 3</c:v>
                </c:pt>
                <c:pt idx="1">
                  <c:v>Dell Inspiron 15</c:v>
                </c:pt>
                <c:pt idx="2">
                  <c:v>Lenovo IdeaPad Slim 3i</c:v>
                </c:pt>
                <c:pt idx="3">
                  <c:v>Mi NoteBook Ultra</c:v>
                </c:pt>
                <c:pt idx="4">
                  <c:v>Samsung Galaxy Go</c:v>
                </c:pt>
                <c:pt idx="5">
                  <c:v>(blank)</c:v>
                </c:pt>
              </c:strCache>
            </c:strRef>
          </c:cat>
          <c:val>
            <c:numRef>
              <c:f>Sheet1!$B$4:$B$10</c:f>
              <c:numCache>
                <c:formatCode>General</c:formatCode>
                <c:ptCount val="6"/>
                <c:pt idx="0">
                  <c:v>6938440</c:v>
                </c:pt>
                <c:pt idx="1">
                  <c:v>12861888</c:v>
                </c:pt>
                <c:pt idx="2">
                  <c:v>2844580</c:v>
                </c:pt>
                <c:pt idx="3">
                  <c:v>8119860</c:v>
                </c:pt>
                <c:pt idx="4">
                  <c:v>3994920</c:v>
                </c:pt>
                <c:pt idx="5">
                  <c:v>#N/A</c:v>
                </c:pt>
              </c:numCache>
            </c:numRef>
          </c:val>
          <c:extLst>
            <c:ext xmlns:c16="http://schemas.microsoft.com/office/drawing/2014/chart" uri="{C3380CC4-5D6E-409C-BE32-E72D297353CC}">
              <c16:uniqueId val="{00000000-4F1E-4950-8623-95B2DD337D87}"/>
            </c:ext>
          </c:extLst>
        </c:ser>
        <c:dLbls>
          <c:dLblPos val="outEnd"/>
          <c:showLegendKey val="0"/>
          <c:showVal val="1"/>
          <c:showCatName val="0"/>
          <c:showSerName val="0"/>
          <c:showPercent val="0"/>
          <c:showBubbleSize val="0"/>
        </c:dLbls>
        <c:gapWidth val="100"/>
        <c:overlap val="-24"/>
        <c:axId val="1021416528"/>
        <c:axId val="1021429008"/>
      </c:barChart>
      <c:catAx>
        <c:axId val="1021416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1429008"/>
        <c:crosses val="autoZero"/>
        <c:auto val="1"/>
        <c:lblAlgn val="ctr"/>
        <c:lblOffset val="100"/>
        <c:noMultiLvlLbl val="0"/>
      </c:catAx>
      <c:valAx>
        <c:axId val="102142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14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1">
          <a:lumMod val="95000"/>
          <a:lumOff val="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EXCEL.xlsx]Sheet2!PivotTable2</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800">
                <a:latin typeface="Times New Roman" panose="02020603050405020304" pitchFamily="18" charset="0"/>
                <a:cs typeface="Times New Roman" panose="02020603050405020304" pitchFamily="18" charset="0"/>
              </a:rPr>
              <a:t>SALES</a:t>
            </a:r>
            <a:r>
              <a:rPr lang="en-US" sz="1800" baseline="0">
                <a:latin typeface="Times New Roman" panose="02020603050405020304" pitchFamily="18" charset="0"/>
                <a:cs typeface="Times New Roman" panose="02020603050405020304" pitchFamily="18" charset="0"/>
              </a:rPr>
              <a:t> BY REGION</a:t>
            </a:r>
            <a:endParaRPr lang="en-US" sz="18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84E-4C78-9D1E-9173D3A0F8A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4E-4C78-9D1E-9173D3A0F8A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4E-4C78-9D1E-9173D3A0F8A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84E-4C78-9D1E-9173D3A0F8AB}"/>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 East</c:v>
                </c:pt>
                <c:pt idx="1">
                  <c:v> North</c:v>
                </c:pt>
                <c:pt idx="2">
                  <c:v> South</c:v>
                </c:pt>
                <c:pt idx="3">
                  <c:v> West</c:v>
                </c:pt>
              </c:strCache>
            </c:strRef>
          </c:cat>
          <c:val>
            <c:numRef>
              <c:f>Sheet2!$B$4:$B$8</c:f>
              <c:numCache>
                <c:formatCode>General</c:formatCode>
                <c:ptCount val="4"/>
                <c:pt idx="0">
                  <c:v>10621809</c:v>
                </c:pt>
                <c:pt idx="1">
                  <c:v>6595677</c:v>
                </c:pt>
                <c:pt idx="2">
                  <c:v>4961551</c:v>
                </c:pt>
                <c:pt idx="3">
                  <c:v>12580651</c:v>
                </c:pt>
              </c:numCache>
            </c:numRef>
          </c:val>
          <c:extLst>
            <c:ext xmlns:c16="http://schemas.microsoft.com/office/drawing/2014/chart" uri="{C3380CC4-5D6E-409C-BE32-E72D297353CC}">
              <c16:uniqueId val="{00000008-484E-4C78-9D1E-9173D3A0F8A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1">
          <a:lumMod val="95000"/>
          <a:lumOff val="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EXCEL.xlsx]Sheet3!PivotTable3</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800" b="1">
                <a:latin typeface="Times New Roman" panose="02020603050405020304" pitchFamily="18" charset="0"/>
                <a:cs typeface="Times New Roman" panose="02020603050405020304" pitchFamily="18" charset="0"/>
              </a:rPr>
              <a:t>SALES BY DATE</a:t>
            </a:r>
          </a:p>
        </c:rich>
      </c:tx>
      <c:layout>
        <c:manualLayout>
          <c:xMode val="edge"/>
          <c:yMode val="edge"/>
          <c:x val="0.3154234470691162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08266277875906E-2"/>
          <c:y val="0.1691824421177697"/>
          <c:w val="0.75838972655653147"/>
          <c:h val="0.72500090689314212"/>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bihar</c:v>
                </c:pt>
                <c:pt idx="1">
                  <c:v>delhi</c:v>
                </c:pt>
                <c:pt idx="2">
                  <c:v>gujarat</c:v>
                </c:pt>
                <c:pt idx="3">
                  <c:v>puducherry</c:v>
                </c:pt>
              </c:strCache>
            </c:strRef>
          </c:cat>
          <c:val>
            <c:numRef>
              <c:f>Sheet3!$B$4:$B$8</c:f>
              <c:numCache>
                <c:formatCode>General</c:formatCode>
                <c:ptCount val="4"/>
                <c:pt idx="0">
                  <c:v>215</c:v>
                </c:pt>
                <c:pt idx="1">
                  <c:v>131</c:v>
                </c:pt>
                <c:pt idx="2">
                  <c:v>255</c:v>
                </c:pt>
                <c:pt idx="3">
                  <c:v>99</c:v>
                </c:pt>
              </c:numCache>
            </c:numRef>
          </c:val>
          <c:extLst>
            <c:ext xmlns:c16="http://schemas.microsoft.com/office/drawing/2014/chart" uri="{C3380CC4-5D6E-409C-BE32-E72D297353CC}">
              <c16:uniqueId val="{00000000-5558-410F-8CB6-7AEC8CB350C2}"/>
            </c:ext>
          </c:extLst>
        </c:ser>
        <c:dLbls>
          <c:dLblPos val="outEnd"/>
          <c:showLegendKey val="0"/>
          <c:showVal val="1"/>
          <c:showCatName val="0"/>
          <c:showSerName val="0"/>
          <c:showPercent val="0"/>
          <c:showBubbleSize val="0"/>
        </c:dLbls>
        <c:gapWidth val="219"/>
        <c:overlap val="-27"/>
        <c:axId val="1021431920"/>
        <c:axId val="1021434000"/>
      </c:barChart>
      <c:catAx>
        <c:axId val="102143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1434000"/>
        <c:crosses val="autoZero"/>
        <c:auto val="1"/>
        <c:lblAlgn val="ctr"/>
        <c:lblOffset val="100"/>
        <c:noMultiLvlLbl val="0"/>
      </c:catAx>
      <c:valAx>
        <c:axId val="102143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143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EXCEL.xlsx]Sheet4!PivotTable4</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SALES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Sheet4!$A$4:$A$11</c:f>
              <c:strCache>
                <c:ptCount val="7"/>
                <c:pt idx="0">
                  <c:v>&lt;02-01-2020</c:v>
                </c:pt>
                <c:pt idx="1">
                  <c:v>Jan</c:v>
                </c:pt>
                <c:pt idx="2">
                  <c:v>Feb</c:v>
                </c:pt>
                <c:pt idx="3">
                  <c:v>Mar</c:v>
                </c:pt>
                <c:pt idx="4">
                  <c:v>Apr</c:v>
                </c:pt>
                <c:pt idx="5">
                  <c:v>May</c:v>
                </c:pt>
                <c:pt idx="6">
                  <c:v>Jun</c:v>
                </c:pt>
              </c:strCache>
            </c:strRef>
          </c:cat>
          <c:val>
            <c:numRef>
              <c:f>Sheet4!$B$4:$B$11</c:f>
              <c:numCache>
                <c:formatCode>General</c:formatCode>
                <c:ptCount val="7"/>
                <c:pt idx="0">
                  <c:v>235</c:v>
                </c:pt>
                <c:pt idx="1">
                  <c:v>154</c:v>
                </c:pt>
                <c:pt idx="2">
                  <c:v>69</c:v>
                </c:pt>
                <c:pt idx="3">
                  <c:v>95</c:v>
                </c:pt>
                <c:pt idx="4">
                  <c:v>127</c:v>
                </c:pt>
                <c:pt idx="5">
                  <c:v>167</c:v>
                </c:pt>
                <c:pt idx="6">
                  <c:v>88</c:v>
                </c:pt>
              </c:numCache>
            </c:numRef>
          </c:val>
          <c:smooth val="0"/>
          <c:extLst>
            <c:ext xmlns:c16="http://schemas.microsoft.com/office/drawing/2014/chart" uri="{C3380CC4-5D6E-409C-BE32-E72D297353CC}">
              <c16:uniqueId val="{00000000-04BA-4D63-B22F-06B1DA5C2ED4}"/>
            </c:ext>
          </c:extLst>
        </c:ser>
        <c:dLbls>
          <c:dLblPos val="t"/>
          <c:showLegendKey val="0"/>
          <c:showVal val="1"/>
          <c:showCatName val="0"/>
          <c:showSerName val="0"/>
          <c:showPercent val="0"/>
          <c:showBubbleSize val="0"/>
        </c:dLbls>
        <c:marker val="1"/>
        <c:smooth val="0"/>
        <c:axId val="1240935312"/>
        <c:axId val="1240930736"/>
      </c:lineChart>
      <c:catAx>
        <c:axId val="1240935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0930736"/>
        <c:crosses val="autoZero"/>
        <c:auto val="1"/>
        <c:lblAlgn val="ctr"/>
        <c:lblOffset val="100"/>
        <c:noMultiLvlLbl val="0"/>
      </c:catAx>
      <c:valAx>
        <c:axId val="1240930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093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REPORT EXCEL.xlsx]Sheet5!PivotTable5</c:name>
    <c:fmtId val="5"/>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IN" b="1">
                <a:latin typeface="Times New Roman" panose="02020603050405020304" pitchFamily="18" charset="0"/>
                <a:cs typeface="Times New Roman" panose="02020603050405020304" pitchFamily="18" charset="0"/>
              </a:rPr>
              <a:t>MONTH ORDERS VS SALES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1">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1">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 Price</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Sheet5!$A$4:$A$10</c:f>
              <c:strCache>
                <c:ptCount val="6"/>
                <c:pt idx="0">
                  <c:v>Jan</c:v>
                </c:pt>
                <c:pt idx="1">
                  <c:v>Feb</c:v>
                </c:pt>
                <c:pt idx="2">
                  <c:v>Mar</c:v>
                </c:pt>
                <c:pt idx="3">
                  <c:v>Apr</c:v>
                </c:pt>
                <c:pt idx="4">
                  <c:v>May</c:v>
                </c:pt>
                <c:pt idx="5">
                  <c:v>Jun</c:v>
                </c:pt>
              </c:strCache>
            </c:strRef>
          </c:cat>
          <c:val>
            <c:numRef>
              <c:f>Sheet5!$B$4:$B$10</c:f>
              <c:numCache>
                <c:formatCode>General</c:formatCode>
                <c:ptCount val="6"/>
                <c:pt idx="0">
                  <c:v>7645177</c:v>
                </c:pt>
                <c:pt idx="1">
                  <c:v>3362008</c:v>
                </c:pt>
                <c:pt idx="2">
                  <c:v>4678337</c:v>
                </c:pt>
                <c:pt idx="3">
                  <c:v>6374418</c:v>
                </c:pt>
                <c:pt idx="4">
                  <c:v>8393328</c:v>
                </c:pt>
                <c:pt idx="5">
                  <c:v>4306420</c:v>
                </c:pt>
              </c:numCache>
            </c:numRef>
          </c:val>
          <c:extLst>
            <c:ext xmlns:c16="http://schemas.microsoft.com/office/drawing/2014/chart" uri="{C3380CC4-5D6E-409C-BE32-E72D297353CC}">
              <c16:uniqueId val="{00000000-91B9-4F68-B0F9-2F79511D829C}"/>
            </c:ext>
          </c:extLst>
        </c:ser>
        <c:dLbls>
          <c:showLegendKey val="0"/>
          <c:showVal val="1"/>
          <c:showCatName val="0"/>
          <c:showSerName val="0"/>
          <c:showPercent val="0"/>
          <c:showBubbleSize val="0"/>
        </c:dLbls>
        <c:gapWidth val="269"/>
        <c:overlap val="-27"/>
        <c:axId val="1336009280"/>
        <c:axId val="1336010944"/>
      </c:barChart>
      <c:lineChart>
        <c:grouping val="standard"/>
        <c:varyColors val="0"/>
        <c:ser>
          <c:idx val="1"/>
          <c:order val="1"/>
          <c:tx>
            <c:strRef>
              <c:f>Sheet5!$C$3</c:f>
              <c:strCache>
                <c:ptCount val="1"/>
                <c:pt idx="0">
                  <c:v>Count of Order ID</c:v>
                </c:pt>
              </c:strCache>
            </c:strRef>
          </c:tx>
          <c:spPr>
            <a:ln w="38100" cap="rnd">
              <a:solidFill>
                <a:schemeClr val="accent1">
                  <a:tint val="77000"/>
                </a:schemeClr>
              </a:solidFill>
              <a:round/>
            </a:ln>
            <a:effectLst/>
          </c:spPr>
          <c:marker>
            <c:symbol val="circle"/>
            <c:size val="8"/>
            <c:spPr>
              <a:solidFill>
                <a:schemeClr val="accent1">
                  <a:tint val="77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Sheet5!$A$4:$A$10</c:f>
              <c:strCache>
                <c:ptCount val="6"/>
                <c:pt idx="0">
                  <c:v>Jan</c:v>
                </c:pt>
                <c:pt idx="1">
                  <c:v>Feb</c:v>
                </c:pt>
                <c:pt idx="2">
                  <c:v>Mar</c:v>
                </c:pt>
                <c:pt idx="3">
                  <c:v>Apr</c:v>
                </c:pt>
                <c:pt idx="4">
                  <c:v>May</c:v>
                </c:pt>
                <c:pt idx="5">
                  <c:v>Jun</c:v>
                </c:pt>
              </c:strCache>
            </c:strRef>
          </c:cat>
          <c:val>
            <c:numRef>
              <c:f>Sheet5!$C$4:$C$10</c:f>
              <c:numCache>
                <c:formatCode>General</c:formatCode>
                <c:ptCount val="6"/>
                <c:pt idx="0">
                  <c:v>154</c:v>
                </c:pt>
                <c:pt idx="1">
                  <c:v>69</c:v>
                </c:pt>
                <c:pt idx="2">
                  <c:v>95</c:v>
                </c:pt>
                <c:pt idx="3">
                  <c:v>127</c:v>
                </c:pt>
                <c:pt idx="4">
                  <c:v>167</c:v>
                </c:pt>
                <c:pt idx="5">
                  <c:v>88</c:v>
                </c:pt>
              </c:numCache>
            </c:numRef>
          </c:val>
          <c:smooth val="0"/>
          <c:extLst>
            <c:ext xmlns:c16="http://schemas.microsoft.com/office/drawing/2014/chart" uri="{C3380CC4-5D6E-409C-BE32-E72D297353CC}">
              <c16:uniqueId val="{00000001-91B9-4F68-B0F9-2F79511D829C}"/>
            </c:ext>
          </c:extLst>
        </c:ser>
        <c:dLbls>
          <c:showLegendKey val="0"/>
          <c:showVal val="1"/>
          <c:showCatName val="0"/>
          <c:showSerName val="0"/>
          <c:showPercent val="0"/>
          <c:showBubbleSize val="0"/>
        </c:dLbls>
        <c:marker val="1"/>
        <c:smooth val="0"/>
        <c:axId val="1336011776"/>
        <c:axId val="1336011360"/>
      </c:lineChart>
      <c:catAx>
        <c:axId val="133600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1336010944"/>
        <c:crosses val="autoZero"/>
        <c:auto val="1"/>
        <c:lblAlgn val="ctr"/>
        <c:lblOffset val="100"/>
        <c:noMultiLvlLbl val="0"/>
      </c:catAx>
      <c:valAx>
        <c:axId val="1336010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6009280"/>
        <c:crosses val="autoZero"/>
        <c:crossBetween val="between"/>
      </c:valAx>
      <c:valAx>
        <c:axId val="13360113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36011776"/>
        <c:crosses val="max"/>
        <c:crossBetween val="between"/>
      </c:valAx>
      <c:catAx>
        <c:axId val="1336011776"/>
        <c:scaling>
          <c:orientation val="minMax"/>
        </c:scaling>
        <c:delete val="1"/>
        <c:axPos val="b"/>
        <c:numFmt formatCode="General" sourceLinked="1"/>
        <c:majorTickMark val="out"/>
        <c:minorTickMark val="none"/>
        <c:tickLblPos val="nextTo"/>
        <c:crossAx val="13360113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B63417C7-A015-4221-A827-5D9FC8B2D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3</xdr:row>
      <xdr:rowOff>19050</xdr:rowOff>
    </xdr:from>
    <xdr:to>
      <xdr:col>10</xdr:col>
      <xdr:colOff>320040</xdr:colOff>
      <xdr:row>18</xdr:row>
      <xdr:rowOff>19050</xdr:rowOff>
    </xdr:to>
    <xdr:graphicFrame macro="">
      <xdr:nvGraphicFramePr>
        <xdr:cNvPr id="2" name="Chart 1">
          <a:extLst>
            <a:ext uri="{FF2B5EF4-FFF2-40B4-BE49-F238E27FC236}">
              <a16:creationId xmlns:a16="http://schemas.microsoft.com/office/drawing/2014/main" id="{396FD13F-2658-452A-AAFE-948510A21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502920</xdr:colOff>
      <xdr:row>6</xdr:row>
      <xdr:rowOff>41910</xdr:rowOff>
    </xdr:from>
    <xdr:to>
      <xdr:col>11</xdr:col>
      <xdr:colOff>198120</xdr:colOff>
      <xdr:row>21</xdr:row>
      <xdr:rowOff>41910</xdr:rowOff>
    </xdr:to>
    <xdr:graphicFrame macro="">
      <xdr:nvGraphicFramePr>
        <xdr:cNvPr id="2" name="Chart 1">
          <a:extLst>
            <a:ext uri="{FF2B5EF4-FFF2-40B4-BE49-F238E27FC236}">
              <a16:creationId xmlns:a16="http://schemas.microsoft.com/office/drawing/2014/main" id="{1831A5B6-FD65-4471-9AA8-33A225F7A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502920</xdr:colOff>
      <xdr:row>6</xdr:row>
      <xdr:rowOff>41910</xdr:rowOff>
    </xdr:from>
    <xdr:to>
      <xdr:col>11</xdr:col>
      <xdr:colOff>198120</xdr:colOff>
      <xdr:row>21</xdr:row>
      <xdr:rowOff>41910</xdr:rowOff>
    </xdr:to>
    <xdr:graphicFrame macro="">
      <xdr:nvGraphicFramePr>
        <xdr:cNvPr id="2" name="Chart 1">
          <a:extLst>
            <a:ext uri="{FF2B5EF4-FFF2-40B4-BE49-F238E27FC236}">
              <a16:creationId xmlns:a16="http://schemas.microsoft.com/office/drawing/2014/main" id="{05E7422B-2BDC-4B41-803E-C7C2C106B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601980</xdr:colOff>
      <xdr:row>4</xdr:row>
      <xdr:rowOff>163830</xdr:rowOff>
    </xdr:from>
    <xdr:to>
      <xdr:col>11</xdr:col>
      <xdr:colOff>297180</xdr:colOff>
      <xdr:row>19</xdr:row>
      <xdr:rowOff>163830</xdr:rowOff>
    </xdr:to>
    <xdr:graphicFrame macro="">
      <xdr:nvGraphicFramePr>
        <xdr:cNvPr id="2" name="Chart 1">
          <a:extLst>
            <a:ext uri="{FF2B5EF4-FFF2-40B4-BE49-F238E27FC236}">
              <a16:creationId xmlns:a16="http://schemas.microsoft.com/office/drawing/2014/main" id="{EB4BBDF8-C34E-4E8E-BE7B-BC13223ED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229810</xdr:colOff>
      <xdr:row>1</xdr:row>
      <xdr:rowOff>12269</xdr:rowOff>
    </xdr:from>
    <xdr:to>
      <xdr:col>22</xdr:col>
      <xdr:colOff>283307</xdr:colOff>
      <xdr:row>4</xdr:row>
      <xdr:rowOff>131380</xdr:rowOff>
    </xdr:to>
    <xdr:sp macro="" textlink="">
      <xdr:nvSpPr>
        <xdr:cNvPr id="2" name="Rectangle 1">
          <a:extLst>
            <a:ext uri="{FF2B5EF4-FFF2-40B4-BE49-F238E27FC236}">
              <a16:creationId xmlns:a16="http://schemas.microsoft.com/office/drawing/2014/main" id="{9ED5B046-9701-49F1-88EF-102028D6967A}"/>
            </a:ext>
          </a:extLst>
        </xdr:cNvPr>
        <xdr:cNvSpPr/>
      </xdr:nvSpPr>
      <xdr:spPr>
        <a:xfrm>
          <a:off x="229810" y="209338"/>
          <a:ext cx="13421342" cy="710318"/>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ln>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tx1"/>
              </a:solidFill>
              <a:latin typeface="Times New Roman" panose="02020603050405020304" pitchFamily="18" charset="0"/>
              <a:cs typeface="Times New Roman" panose="02020603050405020304" pitchFamily="18" charset="0"/>
            </a:rPr>
            <a:t>SALES</a:t>
          </a:r>
          <a:r>
            <a:rPr lang="en-IN" sz="4000" b="1" baseline="0">
              <a:solidFill>
                <a:schemeClr val="tx1"/>
              </a:solidFill>
              <a:latin typeface="Times New Roman" panose="02020603050405020304" pitchFamily="18" charset="0"/>
              <a:cs typeface="Times New Roman" panose="02020603050405020304" pitchFamily="18" charset="0"/>
            </a:rPr>
            <a:t> REPORT</a:t>
          </a:r>
          <a:endParaRPr lang="en-IN" sz="40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388154</xdr:colOff>
      <xdr:row>5</xdr:row>
      <xdr:rowOff>164226</xdr:rowOff>
    </xdr:from>
    <xdr:to>
      <xdr:col>4</xdr:col>
      <xdr:colOff>509094</xdr:colOff>
      <xdr:row>10</xdr:row>
      <xdr:rowOff>98535</xdr:rowOff>
    </xdr:to>
    <xdr:sp macro="" textlink="">
      <xdr:nvSpPr>
        <xdr:cNvPr id="3" name="Rectangle 2">
          <a:extLst>
            <a:ext uri="{FF2B5EF4-FFF2-40B4-BE49-F238E27FC236}">
              <a16:creationId xmlns:a16="http://schemas.microsoft.com/office/drawing/2014/main" id="{9764D0D5-B080-47D6-BA88-DE7ABCA16A9A}"/>
            </a:ext>
          </a:extLst>
        </xdr:cNvPr>
        <xdr:cNvSpPr/>
      </xdr:nvSpPr>
      <xdr:spPr>
        <a:xfrm>
          <a:off x="388154" y="1149571"/>
          <a:ext cx="2551457" cy="919654"/>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Times New Roman" panose="02020603050405020304" pitchFamily="18" charset="0"/>
              <a:cs typeface="Times New Roman" panose="02020603050405020304" pitchFamily="18" charset="0"/>
            </a:rPr>
            <a:t>TOTAL UNIT SOLD</a:t>
          </a:r>
        </a:p>
        <a:p>
          <a:pPr algn="ctr"/>
          <a:r>
            <a:rPr lang="en-IN" sz="1800" b="1" i="0" u="none" strike="noStrike">
              <a:solidFill>
                <a:schemeClr val="tx1"/>
              </a:solidFill>
              <a:effectLst/>
              <a:latin typeface="Times New Roman" panose="02020603050405020304" pitchFamily="18" charset="0"/>
              <a:ea typeface="+mn-ea"/>
              <a:cs typeface="Times New Roman" panose="02020603050405020304" pitchFamily="18" charset="0"/>
            </a:rPr>
            <a:t>₹3,762.00</a:t>
          </a:r>
          <a:r>
            <a:rPr lang="en-IN" sz="1800" b="1">
              <a:solidFill>
                <a:schemeClr val="tx1"/>
              </a:solidFill>
              <a:latin typeface="Times New Roman" panose="02020603050405020304" pitchFamily="18" charset="0"/>
              <a:cs typeface="Times New Roman" panose="02020603050405020304" pitchFamily="18" charset="0"/>
            </a:rPr>
            <a:t> </a:t>
          </a:r>
        </a:p>
      </xdr:txBody>
    </xdr:sp>
    <xdr:clientData/>
  </xdr:twoCellAnchor>
  <xdr:twoCellAnchor>
    <xdr:from>
      <xdr:col>5</xdr:col>
      <xdr:colOff>205619</xdr:colOff>
      <xdr:row>5</xdr:row>
      <xdr:rowOff>164225</xdr:rowOff>
    </xdr:from>
    <xdr:to>
      <xdr:col>10</xdr:col>
      <xdr:colOff>541940</xdr:colOff>
      <xdr:row>10</xdr:row>
      <xdr:rowOff>98534</xdr:rowOff>
    </xdr:to>
    <xdr:sp macro="" textlink="">
      <xdr:nvSpPr>
        <xdr:cNvPr id="4" name="Rectangle 3">
          <a:extLst>
            <a:ext uri="{FF2B5EF4-FFF2-40B4-BE49-F238E27FC236}">
              <a16:creationId xmlns:a16="http://schemas.microsoft.com/office/drawing/2014/main" id="{AD2759C6-9F68-41B6-8324-2B309E6C1844}"/>
            </a:ext>
          </a:extLst>
        </xdr:cNvPr>
        <xdr:cNvSpPr/>
      </xdr:nvSpPr>
      <xdr:spPr>
        <a:xfrm>
          <a:off x="3243766" y="1149570"/>
          <a:ext cx="3374467" cy="919654"/>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Times New Roman" panose="02020603050405020304" pitchFamily="18" charset="0"/>
              <a:cs typeface="Times New Roman" panose="02020603050405020304" pitchFamily="18" charset="0"/>
            </a:rPr>
            <a:t>SUM</a:t>
          </a:r>
          <a:r>
            <a:rPr lang="en-IN" sz="1800" b="1" baseline="0">
              <a:solidFill>
                <a:schemeClr val="tx1"/>
              </a:solidFill>
              <a:latin typeface="Times New Roman" panose="02020603050405020304" pitchFamily="18" charset="0"/>
              <a:cs typeface="Times New Roman" panose="02020603050405020304" pitchFamily="18" charset="0"/>
            </a:rPr>
            <a:t> OF SALES PRICE</a:t>
          </a:r>
        </a:p>
        <a:p>
          <a:pPr algn="ctr"/>
          <a:r>
            <a:rPr lang="en-IN" sz="1800" b="1" baseline="0">
              <a:solidFill>
                <a:schemeClr val="tx1"/>
              </a:solidFill>
              <a:latin typeface="Times New Roman" panose="02020603050405020304" pitchFamily="18" charset="0"/>
              <a:cs typeface="Times New Roman" panose="02020603050405020304" pitchFamily="18" charset="0"/>
            </a:rPr>
            <a:t>₹3,47,59688.00</a:t>
          </a:r>
          <a:endParaRPr lang="en-IN"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459222</xdr:colOff>
      <xdr:row>5</xdr:row>
      <xdr:rowOff>136071</xdr:rowOff>
    </xdr:from>
    <xdr:to>
      <xdr:col>16</xdr:col>
      <xdr:colOff>443404</xdr:colOff>
      <xdr:row>10</xdr:row>
      <xdr:rowOff>136073</xdr:rowOff>
    </xdr:to>
    <xdr:sp macro="" textlink="">
      <xdr:nvSpPr>
        <xdr:cNvPr id="5" name="Rectangle 4">
          <a:extLst>
            <a:ext uri="{FF2B5EF4-FFF2-40B4-BE49-F238E27FC236}">
              <a16:creationId xmlns:a16="http://schemas.microsoft.com/office/drawing/2014/main" id="{AE167082-8032-4DD2-9693-F65B71F4AEEE}"/>
            </a:ext>
          </a:extLst>
        </xdr:cNvPr>
        <xdr:cNvSpPr/>
      </xdr:nvSpPr>
      <xdr:spPr>
        <a:xfrm>
          <a:off x="7194758" y="1156607"/>
          <a:ext cx="3045789" cy="1020537"/>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2700000" scaled="1"/>
          <a:tileRect/>
        </a:gra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Times New Roman" panose="02020603050405020304" pitchFamily="18" charset="0"/>
              <a:cs typeface="Times New Roman" panose="02020603050405020304" pitchFamily="18" charset="0"/>
            </a:rPr>
            <a:t>COUNT OF CUSTOMER ID</a:t>
          </a:r>
        </a:p>
        <a:p>
          <a:pPr algn="ctr"/>
          <a:r>
            <a:rPr lang="en-IN" sz="1800" b="1">
              <a:solidFill>
                <a:schemeClr val="tx1"/>
              </a:solidFill>
              <a:latin typeface="Times New Roman" panose="02020603050405020304" pitchFamily="18" charset="0"/>
              <a:cs typeface="Times New Roman" panose="02020603050405020304" pitchFamily="18" charset="0"/>
            </a:rPr>
            <a:t>                      700</a:t>
          </a:r>
        </a:p>
      </xdr:txBody>
    </xdr:sp>
    <xdr:clientData/>
  </xdr:twoCellAnchor>
  <xdr:twoCellAnchor>
    <xdr:from>
      <xdr:col>0</xdr:col>
      <xdr:colOff>144780</xdr:colOff>
      <xdr:row>11</xdr:row>
      <xdr:rowOff>147801</xdr:rowOff>
    </xdr:from>
    <xdr:to>
      <xdr:col>7</xdr:col>
      <xdr:colOff>449580</xdr:colOff>
      <xdr:row>28</xdr:row>
      <xdr:rowOff>98026</xdr:rowOff>
    </xdr:to>
    <xdr:graphicFrame macro="">
      <xdr:nvGraphicFramePr>
        <xdr:cNvPr id="24" name="Chart 23">
          <a:extLst>
            <a:ext uri="{FF2B5EF4-FFF2-40B4-BE49-F238E27FC236}">
              <a16:creationId xmlns:a16="http://schemas.microsoft.com/office/drawing/2014/main" id="{450B8242-5C15-40A9-ABA1-18E630102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562975</xdr:colOff>
      <xdr:row>11</xdr:row>
      <xdr:rowOff>147801</xdr:rowOff>
    </xdr:from>
    <xdr:to>
      <xdr:col>15</xdr:col>
      <xdr:colOff>260758</xdr:colOff>
      <xdr:row>28</xdr:row>
      <xdr:rowOff>113267</xdr:rowOff>
    </xdr:to>
    <xdr:graphicFrame macro="">
      <xdr:nvGraphicFramePr>
        <xdr:cNvPr id="25" name="Chart 24">
          <a:extLst>
            <a:ext uri="{FF2B5EF4-FFF2-40B4-BE49-F238E27FC236}">
              <a16:creationId xmlns:a16="http://schemas.microsoft.com/office/drawing/2014/main" id="{15D67EF8-893D-4881-AE0E-DDA7C570A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452227</xdr:colOff>
      <xdr:row>11</xdr:row>
      <xdr:rowOff>164224</xdr:rowOff>
    </xdr:from>
    <xdr:to>
      <xdr:col>22</xdr:col>
      <xdr:colOff>414127</xdr:colOff>
      <xdr:row>28</xdr:row>
      <xdr:rowOff>114957</xdr:rowOff>
    </xdr:to>
    <xdr:graphicFrame macro="">
      <xdr:nvGraphicFramePr>
        <xdr:cNvPr id="26" name="Chart 25">
          <a:extLst>
            <a:ext uri="{FF2B5EF4-FFF2-40B4-BE49-F238E27FC236}">
              <a16:creationId xmlns:a16="http://schemas.microsoft.com/office/drawing/2014/main" id="{8A16B3C3-4C3F-4DD9-B9B0-33938B8DA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124245</xdr:colOff>
      <xdr:row>29</xdr:row>
      <xdr:rowOff>154983</xdr:rowOff>
    </xdr:from>
    <xdr:to>
      <xdr:col>7</xdr:col>
      <xdr:colOff>429045</xdr:colOff>
      <xdr:row>44</xdr:row>
      <xdr:rowOff>154982</xdr:rowOff>
    </xdr:to>
    <xdr:graphicFrame macro="">
      <xdr:nvGraphicFramePr>
        <xdr:cNvPr id="27" name="Chart 26">
          <a:extLst>
            <a:ext uri="{FF2B5EF4-FFF2-40B4-BE49-F238E27FC236}">
              <a16:creationId xmlns:a16="http://schemas.microsoft.com/office/drawing/2014/main" id="{870403AC-D579-476B-8ACD-F3944FB01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553988</xdr:colOff>
      <xdr:row>29</xdr:row>
      <xdr:rowOff>179993</xdr:rowOff>
    </xdr:from>
    <xdr:to>
      <xdr:col>15</xdr:col>
      <xdr:colOff>253096</xdr:colOff>
      <xdr:row>44</xdr:row>
      <xdr:rowOff>179992</xdr:rowOff>
    </xdr:to>
    <xdr:graphicFrame macro="">
      <xdr:nvGraphicFramePr>
        <xdr:cNvPr id="28" name="Chart 27">
          <a:extLst>
            <a:ext uri="{FF2B5EF4-FFF2-40B4-BE49-F238E27FC236}">
              <a16:creationId xmlns:a16="http://schemas.microsoft.com/office/drawing/2014/main" id="{169C5695-7A81-4874-980D-496FE822A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486487</xdr:colOff>
      <xdr:row>39</xdr:row>
      <xdr:rowOff>10325</xdr:rowOff>
    </xdr:from>
    <xdr:to>
      <xdr:col>22</xdr:col>
      <xdr:colOff>246336</xdr:colOff>
      <xdr:row>44</xdr:row>
      <xdr:rowOff>180647</xdr:rowOff>
    </xdr:to>
    <mc:AlternateContent xmlns:mc="http://schemas.openxmlformats.org/markup-compatibility/2006">
      <mc:Choice xmlns:a14="http://schemas.microsoft.com/office/drawing/2010/main" Requires="a14">
        <xdr:graphicFrame macro="">
          <xdr:nvGraphicFramePr>
            <xdr:cNvPr id="29" name="Product Name">
              <a:extLst>
                <a:ext uri="{FF2B5EF4-FFF2-40B4-BE49-F238E27FC236}">
                  <a16:creationId xmlns:a16="http://schemas.microsoft.com/office/drawing/2014/main" id="{301A5E73-7EFA-4174-A493-DD5487FF40B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0011487" y="8265325"/>
              <a:ext cx="4204849" cy="1228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268731</xdr:colOff>
      <xdr:row>5</xdr:row>
      <xdr:rowOff>148302</xdr:rowOff>
    </xdr:from>
    <xdr:to>
      <xdr:col>22</xdr:col>
      <xdr:colOff>153774</xdr:colOff>
      <xdr:row>10</xdr:row>
      <xdr:rowOff>131878</xdr:rowOff>
    </xdr:to>
    <mc:AlternateContent xmlns:mc="http://schemas.openxmlformats.org/markup-compatibility/2006">
      <mc:Choice xmlns:a14="http://schemas.microsoft.com/office/drawing/2010/main" Requires="a14">
        <xdr:graphicFrame macro="">
          <xdr:nvGraphicFramePr>
            <xdr:cNvPr id="30" name="Status">
              <a:extLst>
                <a:ext uri="{FF2B5EF4-FFF2-40B4-BE49-F238E27FC236}">
                  <a16:creationId xmlns:a16="http://schemas.microsoft.com/office/drawing/2014/main" id="{8138EBAE-88A5-47DE-8F7A-70327D27AF0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063731" y="1206635"/>
              <a:ext cx="3060043" cy="1041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453431</xdr:colOff>
      <xdr:row>29</xdr:row>
      <xdr:rowOff>180647</xdr:rowOff>
    </xdr:from>
    <xdr:to>
      <xdr:col>22</xdr:col>
      <xdr:colOff>262758</xdr:colOff>
      <xdr:row>38</xdr:row>
      <xdr:rowOff>49267</xdr:rowOff>
    </xdr:to>
    <mc:AlternateContent xmlns:mc="http://schemas.openxmlformats.org/markup-compatibility/2006">
      <mc:Choice xmlns:tsle="http://schemas.microsoft.com/office/drawing/2012/timeslicer" Requires="tsle">
        <xdr:graphicFrame macro="">
          <xdr:nvGraphicFramePr>
            <xdr:cNvPr id="31" name="Order Date">
              <a:extLst>
                <a:ext uri="{FF2B5EF4-FFF2-40B4-BE49-F238E27FC236}">
                  <a16:creationId xmlns:a16="http://schemas.microsoft.com/office/drawing/2014/main" id="{F5CF86EB-D258-48D4-BF53-FA43156803C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978431" y="6318980"/>
              <a:ext cx="4254327" cy="1773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aya S" refreshedDate="46170.435646759259" createdVersion="7" refreshedVersion="7" minRefreshableVersion="3" recordCount="935" xr:uid="{3BAD1A85-0002-4D8C-A5A8-4070A866D3B4}">
  <cacheSource type="worksheet">
    <worksheetSource name="Table1"/>
  </cacheSource>
  <cacheFields count="16">
    <cacheField name="Column1" numFmtId="0">
      <sharedItems containsString="0" containsBlank="1" containsNumber="1" containsInteger="1" minValue="12568" maxValue="25682"/>
    </cacheField>
    <cacheField name="First Name" numFmtId="0">
      <sharedItems containsBlank="1"/>
    </cacheField>
    <cacheField name="Last Name" numFmtId="0">
      <sharedItems containsBlank="1"/>
    </cacheField>
    <cacheField name="Country" numFmtId="0">
      <sharedItems containsBlank="1"/>
    </cacheField>
    <cacheField name="Region" numFmtId="0">
      <sharedItems containsBlank="1" count="5">
        <s v=" East"/>
        <s v=" South"/>
        <s v=" West"/>
        <s v=" North"/>
        <m/>
      </sharedItems>
    </cacheField>
    <cacheField name="State" numFmtId="0">
      <sharedItems containsBlank="1" count="5">
        <s v="bihar"/>
        <s v="puducherry"/>
        <s v="gujarat"/>
        <s v="delhi"/>
        <m/>
      </sharedItems>
    </cacheField>
    <cacheField name="Postal Code" numFmtId="0">
      <sharedItems containsBlank="1" containsMixedTypes="1" containsNumber="1" containsInteger="1" minValue="123456" maxValue="123456"/>
    </cacheField>
    <cacheField name="Email ID" numFmtId="0">
      <sharedItems containsBlank="1"/>
    </cacheField>
    <cacheField name="Product Name" numFmtId="0">
      <sharedItems containsBlank="1" count="6">
        <s v="Dell Inspiron 15"/>
        <s v="Lenovo IdeaPad Slim 3i"/>
        <s v="Mi NoteBook Ultra"/>
        <s v="Samsung Galaxy Go"/>
        <s v="Acer Aspire 3"/>
        <m/>
      </sharedItems>
    </cacheField>
    <cacheField name="Order ID" numFmtId="0">
      <sharedItems containsString="0" containsBlank="1" containsNumber="1" containsInteger="1" minValue="4530" maxValue="5528"/>
    </cacheField>
    <cacheField name="Order Date" numFmtId="14">
      <sharedItems containsNonDate="0" containsDate="1" containsString="0" containsBlank="1" minDate="2020-01-02T00:00:00" maxDate="2020-06-23T00:00:00" count="62">
        <d v="2020-01-07T00:00:00"/>
        <d v="2020-06-13T00:00:00"/>
        <d v="2020-02-15T00:00:00"/>
        <d v="2020-05-12T00:00:00"/>
        <d v="2020-04-08T00:00:00"/>
        <d v="2020-05-28T00:00:00"/>
        <d v="2020-02-12T00:00:00"/>
        <d v="2020-05-15T00:00:00"/>
        <d v="2020-05-21T00:00:00"/>
        <d v="2020-01-28T00:00:00"/>
        <d v="2020-05-02T00:00:00"/>
        <d v="2020-02-22T00:00:00"/>
        <d v="2020-03-27T00:00:00"/>
        <d v="2020-01-20T00:00:00"/>
        <d v="2020-03-12T00:00:00"/>
        <d v="2020-06-15T00:00:00"/>
        <d v="2020-05-10T00:00:00"/>
        <d v="2020-03-10T00:00:00"/>
        <d v="2020-04-20T00:00:00"/>
        <d v="2020-05-09T00:00:00"/>
        <d v="2020-06-12T00:00:00"/>
        <d v="2020-03-02T00:00:00"/>
        <d v="2020-01-02T00:00:00"/>
        <d v="2020-02-02T00:00:00"/>
        <d v="2020-03-15T00:00:00"/>
        <d v="2020-03-30T00:00:00"/>
        <d v="2020-06-03T00:00:00"/>
        <d v="2020-03-22T00:00:00"/>
        <d v="2020-05-17T00:00:00"/>
        <d v="2020-02-18T00:00:00"/>
        <d v="2020-03-04T00:00:00"/>
        <d v="2020-06-07T00:00:00"/>
        <d v="2020-05-03T00:00:00"/>
        <d v="2020-06-22T00:00:00"/>
        <d v="2020-04-06T00:00:00"/>
        <d v="2020-01-03T00:00:00"/>
        <d v="2020-04-04T00:00:00"/>
        <d v="2020-04-09T00:00:00"/>
        <d v="2020-01-12T00:00:00"/>
        <d v="2020-01-27T00:00:00"/>
        <d v="2020-05-25T00:00:00"/>
        <d v="2020-05-16T00:00:00"/>
        <d v="2020-06-02T00:00:00"/>
        <d v="2020-01-15T00:00:00"/>
        <d v="2020-03-16T00:00:00"/>
        <d v="2020-04-23T00:00:00"/>
        <d v="2020-01-22T00:00:00"/>
        <d v="2020-04-19T00:00:00"/>
        <d v="2020-03-29T00:00:00"/>
        <d v="2020-06-18T00:00:00"/>
        <d v="2020-05-14T00:00:00"/>
        <d v="2020-01-25T00:00:00"/>
        <d v="2020-01-11T00:00:00"/>
        <d v="2020-04-13T00:00:00"/>
        <d v="2020-02-21T00:00:00"/>
        <d v="2020-05-22T00:00:00"/>
        <d v="2020-01-10T00:00:00"/>
        <d v="2020-04-02T00:00:00"/>
        <d v="2020-04-27T00:00:00"/>
        <d v="2020-01-16T00:00:00"/>
        <d v="2020-01-17T00:00:00"/>
        <m/>
      </sharedItems>
      <fieldGroup par="15" base="10">
        <rangePr groupBy="days" startDate="2020-01-02T00:00:00" endDate="2020-06-23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6-2020"/>
        </groupItems>
      </fieldGroup>
    </cacheField>
    <cacheField name="Ship Date" numFmtId="14">
      <sharedItems containsNonDate="0" containsDate="1" containsString="0" containsBlank="1" minDate="2020-01-02T00:00:00" maxDate="2020-06-25T00:00:00"/>
    </cacheField>
    <cacheField name="Unit Sold" numFmtId="0">
      <sharedItems containsString="0" containsBlank="1" containsNumber="1" containsInteger="1" minValue="1" maxValue="10"/>
    </cacheField>
    <cacheField name="Sale Price" numFmtId="164">
      <sharedItems containsMixedTypes="1" containsNumber="1" containsInteger="1" minValue="34690" maxValue="66989"/>
    </cacheField>
    <cacheField name="Status" numFmtId="0">
      <sharedItems containsBlank="1" count="2">
        <s v="Shipped"/>
        <m/>
      </sharedItems>
    </cacheField>
    <cacheField name="Months" numFmtId="0" databaseField="0">
      <fieldGroup base="10">
        <rangePr groupBy="months" startDate="2020-01-02T00:00:00" endDate="2020-06-23T00:00:00"/>
        <groupItems count="14">
          <s v="&lt;02-01-2020"/>
          <s v="Jan"/>
          <s v="Feb"/>
          <s v="Mar"/>
          <s v="Apr"/>
          <s v="May"/>
          <s v="Jun"/>
          <s v="Jul"/>
          <s v="Aug"/>
          <s v="Sep"/>
          <s v="Oct"/>
          <s v="Nov"/>
          <s v="Dec"/>
          <s v="&gt;23-06-2020"/>
        </groupItems>
      </fieldGroup>
    </cacheField>
  </cacheFields>
  <extLst>
    <ext xmlns:x14="http://schemas.microsoft.com/office/spreadsheetml/2009/9/main" uri="{725AE2AE-9491-48be-B2B4-4EB974FC3084}">
      <x14:pivotCacheDefinition pivotCacheId="1493707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5">
  <r>
    <n v="17943"/>
    <s v="Jason"/>
    <s v="Wright"/>
    <s v="India "/>
    <x v="0"/>
    <x v="0"/>
    <s v="81 31 08"/>
    <s v="jason.wright@gmail.com"/>
    <x v="0"/>
    <n v="4817"/>
    <x v="0"/>
    <d v="2020-01-08T00:00:00"/>
    <n v="4"/>
    <n v="66989"/>
    <x v="0"/>
  </r>
  <r>
    <n v="23903"/>
    <s v="Donna"/>
    <s v="Blake"/>
    <s v="India "/>
    <x v="1"/>
    <x v="1"/>
    <s v="60 50 01"/>
    <s v="donna.blake@gmail.com"/>
    <x v="1"/>
    <n v="5033"/>
    <x v="1"/>
    <d v="2020-06-15T00:00:00"/>
    <n v="9"/>
    <n v="34690"/>
    <x v="0"/>
  </r>
  <r>
    <n v="13607"/>
    <s v="Jason"/>
    <s v="Bond"/>
    <s v="India "/>
    <x v="0"/>
    <x v="0"/>
    <s v="81 31 08"/>
    <s v="jason.bond@gmail.com"/>
    <x v="2"/>
    <n v="4799"/>
    <x v="2"/>
    <d v="2020-02-17T00:00:00"/>
    <n v="4"/>
    <n v="57999"/>
    <x v="0"/>
  </r>
  <r>
    <n v="13208"/>
    <s v="Una"/>
    <s v="King"/>
    <s v="India "/>
    <x v="2"/>
    <x v="2"/>
    <s v="38 84 21"/>
    <s v="una.king@gmail.com"/>
    <x v="3"/>
    <n v="4653"/>
    <x v="3"/>
    <d v="2020-05-14T00:00:00"/>
    <n v="9"/>
    <n v="36990"/>
    <x v="0"/>
  </r>
  <r>
    <n v="13939"/>
    <s v="Steven"/>
    <s v="Walsh"/>
    <s v="India "/>
    <x v="2"/>
    <x v="2"/>
    <s v="38 84 21"/>
    <s v="steven.walsh@gmail.com"/>
    <x v="4"/>
    <n v="4682"/>
    <x v="3"/>
    <d v="2020-05-13T00:00:00"/>
    <n v="5"/>
    <n v="38980"/>
    <x v="0"/>
  </r>
  <r>
    <n v="23848"/>
    <s v="Joe"/>
    <s v="Vance"/>
    <s v="India "/>
    <x v="3"/>
    <x v="3"/>
    <s v="11 00 07"/>
    <s v="joe.vance@gmail.com"/>
    <x v="0"/>
    <n v="4708"/>
    <x v="3"/>
    <d v="2020-05-13T00:00:00"/>
    <n v="8"/>
    <n v="66989"/>
    <x v="0"/>
  </r>
  <r>
    <n v="12638"/>
    <s v="Deirdre"/>
    <s v="Mills"/>
    <s v="India "/>
    <x v="0"/>
    <x v="0"/>
    <s v="81 31 08"/>
    <s v="deirdre.mills@gmail.com"/>
    <x v="2"/>
    <n v="5252"/>
    <x v="3"/>
    <d v="2020-05-13T00:00:00"/>
    <n v="6"/>
    <n v="57999"/>
    <x v="0"/>
  </r>
  <r>
    <n v="16642"/>
    <s v="Adam"/>
    <s v="Ince"/>
    <s v="India "/>
    <x v="1"/>
    <x v="1"/>
    <s v="60 50 01"/>
    <s v="adam.ince@gmail.com"/>
    <x v="4"/>
    <n v="5470"/>
    <x v="4"/>
    <d v="2020-04-09T00:00:00"/>
    <n v="9"/>
    <n v="38980"/>
    <x v="0"/>
  </r>
  <r>
    <n v="13447"/>
    <s v="Rose"/>
    <s v="Clark"/>
    <s v="India "/>
    <x v="0"/>
    <x v="0"/>
    <s v="81 31 08"/>
    <s v="rose.clark@gmail.com"/>
    <x v="0"/>
    <n v="4942"/>
    <x v="5"/>
    <d v="2020-05-28T00:00:00"/>
    <n v="10"/>
    <n v="66989"/>
    <x v="0"/>
  </r>
  <r>
    <n v="25227"/>
    <s v="Wanda"/>
    <s v="Lee"/>
    <s v="India "/>
    <x v="2"/>
    <x v="2"/>
    <s v="38 84 21"/>
    <s v="wanda.lee@gmail.com"/>
    <x v="1"/>
    <n v="5459"/>
    <x v="6"/>
    <d v="2020-02-15T00:00:00"/>
    <n v="3"/>
    <n v="34690"/>
    <x v="0"/>
  </r>
  <r>
    <n v="13535"/>
    <s v="Ruth"/>
    <s v="Rutherford"/>
    <s v="India "/>
    <x v="2"/>
    <x v="2"/>
    <s v="38 84 21"/>
    <s v="ruth.rutherford@gmail.com"/>
    <x v="3"/>
    <n v="4617"/>
    <x v="6"/>
    <d v="2020-02-14T00:00:00"/>
    <n v="2"/>
    <n v="36990"/>
    <x v="0"/>
  </r>
  <r>
    <n v="19772"/>
    <s v="Claire"/>
    <s v="Hamilton"/>
    <s v="India "/>
    <x v="3"/>
    <x v="3"/>
    <s v="11 00 07"/>
    <s v="claire.hamilton@gmail.com"/>
    <x v="0"/>
    <n v="5467"/>
    <x v="7"/>
    <d v="2020-05-16T00:00:00"/>
    <n v="1"/>
    <n v="66989"/>
    <x v="0"/>
  </r>
  <r>
    <n v="19957"/>
    <s v="Christopher"/>
    <s v="MacDonald"/>
    <s v="India "/>
    <x v="0"/>
    <x v="0"/>
    <s v="81 31 08"/>
    <s v="christopher.macdonald@gmail.com"/>
    <x v="4"/>
    <n v="5503"/>
    <x v="8"/>
    <d v="2020-05-23T00:00:00"/>
    <n v="9"/>
    <n v="38980"/>
    <x v="0"/>
  </r>
  <r>
    <n v="12996"/>
    <s v="Carl"/>
    <s v="Berry"/>
    <s v="India "/>
    <x v="1"/>
    <x v="1"/>
    <s v="60 50 01"/>
    <s v="carl.berry@gmail.com"/>
    <x v="2"/>
    <n v="5366"/>
    <x v="7"/>
    <d v="2020-05-16T00:00:00"/>
    <n v="10"/>
    <n v="57999"/>
    <x v="0"/>
  </r>
  <r>
    <n v="24631"/>
    <s v="Jane"/>
    <s v="Anderson"/>
    <s v="India "/>
    <x v="0"/>
    <x v="0"/>
    <s v="81 31 08"/>
    <s v="jane.anderson@gmail.com"/>
    <x v="3"/>
    <n v="5093"/>
    <x v="8"/>
    <d v="2020-05-22T00:00:00"/>
    <n v="4"/>
    <n v="36990"/>
    <x v="0"/>
  </r>
  <r>
    <n v="17872"/>
    <s v="Jasmine"/>
    <s v="Stewart"/>
    <s v="India "/>
    <x v="2"/>
    <x v="2"/>
    <s v="38 84 21"/>
    <s v="jasmine.stewart@gmail.com"/>
    <x v="4"/>
    <n v="4989"/>
    <x v="8"/>
    <d v="2020-05-23T00:00:00"/>
    <n v="4"/>
    <n v="38980"/>
    <x v="0"/>
  </r>
  <r>
    <n v="19514"/>
    <s v="Jacob"/>
    <s v="Bond"/>
    <s v="India "/>
    <x v="2"/>
    <x v="2"/>
    <s v="38 84 21"/>
    <s v="jacob.bond@gmail.com"/>
    <x v="0"/>
    <n v="4791"/>
    <x v="9"/>
    <d v="2020-01-29T00:00:00"/>
    <n v="1"/>
    <n v="66989"/>
    <x v="0"/>
  </r>
  <r>
    <n v="12708"/>
    <s v="Ryan"/>
    <s v="Glover"/>
    <s v="India "/>
    <x v="3"/>
    <x v="3"/>
    <s v="11 00 07"/>
    <s v="ryan.glover@gmail.com"/>
    <x v="2"/>
    <n v="5490"/>
    <x v="9"/>
    <d v="2020-01-30T00:00:00"/>
    <n v="4"/>
    <n v="57999"/>
    <x v="0"/>
  </r>
  <r>
    <n v="20646"/>
    <s v="Madeleine"/>
    <s v="Clark"/>
    <s v="India "/>
    <x v="0"/>
    <x v="0"/>
    <s v="81 31 08"/>
    <s v="madeleine.clark@gmail.com"/>
    <x v="4"/>
    <n v="4620"/>
    <x v="10"/>
    <d v="2020-05-04T00:00:00"/>
    <n v="6"/>
    <n v="38980"/>
    <x v="0"/>
  </r>
  <r>
    <n v="20233"/>
    <s v="Jonathan"/>
    <s v="Roberts"/>
    <s v="India "/>
    <x v="1"/>
    <x v="1"/>
    <s v="60 50 01"/>
    <s v="jonathan.roberts@gmail.com"/>
    <x v="0"/>
    <n v="4644"/>
    <x v="11"/>
    <d v="2020-02-23T00:00:00"/>
    <n v="5"/>
    <n v="66989"/>
    <x v="0"/>
  </r>
  <r>
    <n v="16712"/>
    <s v="Lauren"/>
    <s v="Rutherford"/>
    <s v="India "/>
    <x v="0"/>
    <x v="0"/>
    <s v="81 31 08"/>
    <s v="lauren.rutherford@gmail.com"/>
    <x v="1"/>
    <n v="4741"/>
    <x v="12"/>
    <d v="2020-03-28T00:00:00"/>
    <n v="9"/>
    <n v="34690"/>
    <x v="0"/>
  </r>
  <r>
    <n v="14932"/>
    <s v="Tracey"/>
    <s v="Mills"/>
    <s v="India "/>
    <x v="2"/>
    <x v="2"/>
    <s v="38 84 21"/>
    <s v="tracey.mills@gmail.com"/>
    <x v="2"/>
    <n v="4582"/>
    <x v="13"/>
    <d v="2020-01-22T00:00:00"/>
    <n v="7"/>
    <n v="57999"/>
    <x v="0"/>
  </r>
  <r>
    <n v="18589"/>
    <s v="Jacob"/>
    <s v="Fraser"/>
    <s v="India "/>
    <x v="2"/>
    <x v="2"/>
    <s v="38 84 21"/>
    <s v="jacob.fraser@gmail.com"/>
    <x v="3"/>
    <n v="5466"/>
    <x v="14"/>
    <d v="2020-03-19T00:00:00"/>
    <n v="6"/>
    <n v="36990"/>
    <x v="0"/>
  </r>
  <r>
    <n v="21399"/>
    <s v="Edward"/>
    <s v="Bailey"/>
    <s v="India "/>
    <x v="3"/>
    <x v="3"/>
    <s v="11 00 07"/>
    <s v="edward.bailey@gmail.com"/>
    <x v="4"/>
    <n v="5274"/>
    <x v="15"/>
    <d v="2020-06-17T00:00:00"/>
    <n v="10"/>
    <n v="38980"/>
    <x v="0"/>
  </r>
  <r>
    <n v="19322"/>
    <s v="Leonard"/>
    <s v="Springer"/>
    <s v="India "/>
    <x v="3"/>
    <x v="3"/>
    <s v="11 00 07"/>
    <s v="leonard.springer@gmail.com"/>
    <x v="0"/>
    <n v="5445"/>
    <x v="15"/>
    <d v="2020-06-16T00:00:00"/>
    <n v="10"/>
    <n v="66989"/>
    <x v="0"/>
  </r>
  <r>
    <n v="15970"/>
    <s v="Claire"/>
    <s v="Dowd"/>
    <s v="India "/>
    <x v="0"/>
    <x v="0"/>
    <s v="81 31 08"/>
    <s v="claire.dowd@gmail.com"/>
    <x v="2"/>
    <n v="4701"/>
    <x v="16"/>
    <d v="2020-05-11T00:00:00"/>
    <n v="9"/>
    <n v="57999"/>
    <x v="0"/>
  </r>
  <r>
    <n v="16407"/>
    <s v="Anne"/>
    <s v="Graham"/>
    <s v="India "/>
    <x v="1"/>
    <x v="1"/>
    <s v="60 50 01"/>
    <s v="anne.graham@gmail.com"/>
    <x v="4"/>
    <n v="5327"/>
    <x v="17"/>
    <d v="2020-03-10T00:00:00"/>
    <n v="6"/>
    <n v="38980"/>
    <x v="0"/>
  </r>
  <r>
    <n v="12827"/>
    <s v="Jennifer"/>
    <s v="Kerr"/>
    <s v="India "/>
    <x v="0"/>
    <x v="0"/>
    <s v="81 31 08"/>
    <s v="jennifer.kerr@gmail.com"/>
    <x v="0"/>
    <n v="4580"/>
    <x v="9"/>
    <d v="2020-01-30T00:00:00"/>
    <n v="10"/>
    <n v="66989"/>
    <x v="0"/>
  </r>
  <r>
    <n v="20694"/>
    <s v="Lisa"/>
    <s v="Scott"/>
    <s v="India "/>
    <x v="2"/>
    <x v="2"/>
    <s v="38 84 21"/>
    <s v="lisa.scott@gmail.com"/>
    <x v="1"/>
    <n v="4946"/>
    <x v="17"/>
    <d v="2020-03-11T00:00:00"/>
    <n v="3"/>
    <n v="34690"/>
    <x v="0"/>
  </r>
  <r>
    <n v="14837"/>
    <s v="Yvonne"/>
    <s v="Dowd"/>
    <s v="India "/>
    <x v="2"/>
    <x v="2"/>
    <s v="38 84 21"/>
    <s v="yvonne.dowd@gmail.com"/>
    <x v="3"/>
    <n v="5356"/>
    <x v="18"/>
    <d v="2020-04-21T00:00:00"/>
    <n v="1"/>
    <n v="36990"/>
    <x v="0"/>
  </r>
  <r>
    <n v="18465"/>
    <s v="Alexandra"/>
    <s v="Dickens"/>
    <s v="India "/>
    <x v="3"/>
    <x v="3"/>
    <s v="11 00 07"/>
    <s v="alexandra.dickens@gmail.com"/>
    <x v="0"/>
    <n v="5322"/>
    <x v="18"/>
    <d v="2020-04-21T00:00:00"/>
    <n v="4"/>
    <n v="66989"/>
    <x v="0"/>
  </r>
  <r>
    <n v="19734"/>
    <s v="Anne"/>
    <s v="Edmunds"/>
    <s v="India "/>
    <x v="0"/>
    <x v="0"/>
    <s v="81 31 08"/>
    <s v="anne.edmunds@gmail.com"/>
    <x v="4"/>
    <n v="4730"/>
    <x v="19"/>
    <d v="2020-05-11T00:00:00"/>
    <n v="5"/>
    <n v="38980"/>
    <x v="0"/>
  </r>
  <r>
    <n v="24154"/>
    <s v="Dan"/>
    <s v="Paige"/>
    <s v="India "/>
    <x v="1"/>
    <x v="1"/>
    <s v="60 50 01"/>
    <s v="dan.paige@gmail.com"/>
    <x v="2"/>
    <n v="5096"/>
    <x v="20"/>
    <d v="2020-06-14T00:00:00"/>
    <n v="8"/>
    <n v="57999"/>
    <x v="0"/>
  </r>
  <r>
    <n v="20703"/>
    <s v="Richard"/>
    <s v="Stewart"/>
    <s v="India "/>
    <x v="0"/>
    <x v="0"/>
    <s v="81 31 08"/>
    <s v="richard.stewart@gmail.com"/>
    <x v="3"/>
    <n v="5064"/>
    <x v="21"/>
    <d v="2020-03-04T00:00:00"/>
    <n v="2"/>
    <n v="36990"/>
    <x v="0"/>
  </r>
  <r>
    <n v="18659"/>
    <s v="Lily"/>
    <s v="Ellison"/>
    <s v="India "/>
    <x v="2"/>
    <x v="2"/>
    <s v="38 84 21"/>
    <s v="lily.ellison@gmail.com"/>
    <x v="4"/>
    <n v="4669"/>
    <x v="21"/>
    <d v="2020-03-02T00:00:00"/>
    <n v="3"/>
    <n v="38980"/>
    <x v="0"/>
  </r>
  <r>
    <n v="18001"/>
    <s v="Victoria"/>
    <s v="Cornish"/>
    <s v="India "/>
    <x v="2"/>
    <x v="2"/>
    <s v="38 84 21"/>
    <s v="victoria.cornish@gmail.com"/>
    <x v="0"/>
    <n v="5169"/>
    <x v="22"/>
    <d v="2020-01-09T00:00:00"/>
    <n v="9"/>
    <n v="66989"/>
    <x v="0"/>
  </r>
  <r>
    <n v="25486"/>
    <s v="John"/>
    <s v="Harris"/>
    <s v="India "/>
    <x v="3"/>
    <x v="3"/>
    <s v="11 00 07"/>
    <s v="john.harris@gmail.com"/>
    <x v="2"/>
    <n v="5514"/>
    <x v="22"/>
    <d v="2020-01-02T00:00:00"/>
    <n v="8"/>
    <n v="57999"/>
    <x v="0"/>
  </r>
  <r>
    <n v="22683"/>
    <s v="Robert"/>
    <s v="Graham"/>
    <s v="India "/>
    <x v="0"/>
    <x v="0"/>
    <s v="81 31 08"/>
    <s v="robert.graham@gmail.com"/>
    <x v="4"/>
    <n v="4614"/>
    <x v="22"/>
    <d v="2020-01-04T00:00:00"/>
    <n v="10"/>
    <n v="38980"/>
    <x v="0"/>
  </r>
  <r>
    <n v="24252"/>
    <s v="Tracey"/>
    <s v="Knox"/>
    <s v="India "/>
    <x v="1"/>
    <x v="1"/>
    <s v="60 50 01"/>
    <s v="tracey.knox@gmail.com"/>
    <x v="0"/>
    <n v="5508"/>
    <x v="22"/>
    <d v="2020-01-09T00:00:00"/>
    <n v="2"/>
    <n v="66989"/>
    <x v="0"/>
  </r>
  <r>
    <n v="22872"/>
    <s v="Jane"/>
    <s v="Rees"/>
    <s v="India "/>
    <x v="0"/>
    <x v="0"/>
    <s v="81 31 08"/>
    <s v="jane.rees@gmail.com"/>
    <x v="1"/>
    <n v="5386"/>
    <x v="23"/>
    <d v="2020-02-04T00:00:00"/>
    <n v="8"/>
    <n v="34690"/>
    <x v="0"/>
  </r>
  <r>
    <n v="13324"/>
    <s v="Liam"/>
    <s v="Gibson"/>
    <s v="India "/>
    <x v="2"/>
    <x v="2"/>
    <s v="38 84 21"/>
    <s v="liam.gibson@gmail.com"/>
    <x v="0"/>
    <n v="4582"/>
    <x v="23"/>
    <d v="2020-02-04T00:00:00"/>
    <n v="5"/>
    <n v="66989"/>
    <x v="0"/>
  </r>
  <r>
    <n v="20849"/>
    <s v="Benjamin"/>
    <s v="Forsyth"/>
    <s v="India "/>
    <x v="2"/>
    <x v="2"/>
    <s v="38 84 21"/>
    <s v="benjamin.forsyth@gmail.com"/>
    <x v="1"/>
    <n v="5057"/>
    <x v="24"/>
    <d v="2020-03-15T00:00:00"/>
    <n v="7"/>
    <n v="34690"/>
    <x v="0"/>
  </r>
  <r>
    <n v="25549"/>
    <s v="Amanda"/>
    <s v="MacLeod"/>
    <s v="India "/>
    <x v="1"/>
    <x v="1"/>
    <s v="60 50 01"/>
    <s v="amanda.macleod@gmail.com"/>
    <x v="2"/>
    <n v="4854"/>
    <x v="23"/>
    <d v="2020-02-03T00:00:00"/>
    <n v="6"/>
    <n v="57999"/>
    <x v="0"/>
  </r>
  <r>
    <n v="23288"/>
    <s v="Jonathan"/>
    <s v="North"/>
    <s v="India "/>
    <x v="0"/>
    <x v="0"/>
    <s v="81 31 08"/>
    <s v="jonathan.north@gmail.com"/>
    <x v="3"/>
    <n v="4901"/>
    <x v="25"/>
    <d v="2020-04-02T00:00:00"/>
    <n v="3"/>
    <n v="36990"/>
    <x v="0"/>
  </r>
  <r>
    <n v="22066"/>
    <s v="Ian"/>
    <s v="Knox"/>
    <s v="India "/>
    <x v="2"/>
    <x v="2"/>
    <s v="38 84 21"/>
    <s v="ian.knox@gmail.com"/>
    <x v="4"/>
    <n v="4705"/>
    <x v="26"/>
    <d v="2020-06-08T00:00:00"/>
    <n v="3"/>
    <n v="38980"/>
    <x v="0"/>
  </r>
  <r>
    <n v="18456"/>
    <s v="Harry"/>
    <s v="Hart"/>
    <s v="India "/>
    <x v="2"/>
    <x v="2"/>
    <s v="38 84 21"/>
    <s v="harry.hart@gmail.com"/>
    <x v="0"/>
    <n v="4574"/>
    <x v="27"/>
    <d v="2020-03-23T00:00:00"/>
    <n v="5"/>
    <n v="66989"/>
    <x v="0"/>
  </r>
  <r>
    <n v="16268"/>
    <s v="Carl"/>
    <s v="Russell"/>
    <s v="India "/>
    <x v="3"/>
    <x v="3"/>
    <s v="11 00 07"/>
    <s v="carl.russell@gmail.com"/>
    <x v="2"/>
    <n v="4803"/>
    <x v="27"/>
    <d v="2020-03-25T00:00:00"/>
    <n v="10"/>
    <n v="57999"/>
    <x v="0"/>
  </r>
  <r>
    <n v="13680"/>
    <s v="Connor"/>
    <s v="Langdon"/>
    <s v="India "/>
    <x v="0"/>
    <x v="0"/>
    <s v="81 31 08"/>
    <s v="connor.langdon@gmail.com"/>
    <x v="4"/>
    <n v="5188"/>
    <x v="28"/>
    <d v="2020-05-18T00:00:00"/>
    <n v="10"/>
    <n v="38980"/>
    <x v="0"/>
  </r>
  <r>
    <n v="17050"/>
    <s v="Matt"/>
    <s v="MacDonald"/>
    <s v="India "/>
    <x v="1"/>
    <x v="1"/>
    <s v="60 50 01"/>
    <s v="matt.macdonald@gmail.com"/>
    <x v="0"/>
    <n v="5184"/>
    <x v="29"/>
    <d v="2020-02-20T00:00:00"/>
    <n v="1"/>
    <n v="66989"/>
    <x v="0"/>
  </r>
  <r>
    <n v="15729"/>
    <s v="Stewart"/>
    <s v="Fraser"/>
    <s v="India "/>
    <x v="0"/>
    <x v="0"/>
    <s v="81 31 08"/>
    <s v="stewart.fraser@gmail.com"/>
    <x v="1"/>
    <n v="4538"/>
    <x v="30"/>
    <d v="2020-03-06T00:00:00"/>
    <n v="8"/>
    <n v="34690"/>
    <x v="0"/>
  </r>
  <r>
    <n v="14463"/>
    <s v="Joshua"/>
    <s v="Mitchell"/>
    <s v="India "/>
    <x v="2"/>
    <x v="2"/>
    <s v="38 84 21"/>
    <s v="joshua.mitchell@gmail.com"/>
    <x v="3"/>
    <n v="5091"/>
    <x v="28"/>
    <d v="2020-05-19T00:00:00"/>
    <n v="5"/>
    <n v="36990"/>
    <x v="0"/>
  </r>
  <r>
    <n v="21779"/>
    <s v="Victoria"/>
    <s v="Randall"/>
    <s v="India "/>
    <x v="2"/>
    <x v="2"/>
    <s v="38 84 21"/>
    <s v="victoria.randall@gmail.com"/>
    <x v="0"/>
    <n v="4669"/>
    <x v="28"/>
    <d v="2020-05-18T00:00:00"/>
    <n v="6"/>
    <n v="66989"/>
    <x v="0"/>
  </r>
  <r>
    <n v="13905"/>
    <s v="Victor"/>
    <s v="Burgess"/>
    <s v="India "/>
    <x v="3"/>
    <x v="3"/>
    <s v="11 00 07"/>
    <s v="victor.burgess@gmail.com"/>
    <x v="4"/>
    <n v="5182"/>
    <x v="31"/>
    <d v="2020-06-09T00:00:00"/>
    <n v="2"/>
    <n v="38980"/>
    <x v="0"/>
  </r>
  <r>
    <n v="20401"/>
    <s v="Oliver"/>
    <s v="Mackay"/>
    <s v="India "/>
    <x v="0"/>
    <x v="0"/>
    <s v="81 31 08"/>
    <s v="oliver.mackay@gmail.com"/>
    <x v="2"/>
    <n v="4690"/>
    <x v="32"/>
    <d v="2020-05-05T00:00:00"/>
    <n v="10"/>
    <n v="57999"/>
    <x v="0"/>
  </r>
  <r>
    <n v="13895"/>
    <s v="Ryan"/>
    <s v="Randall"/>
    <s v="India "/>
    <x v="1"/>
    <x v="1"/>
    <s v="60 50 01"/>
    <s v="ryan.randall@gmail.com"/>
    <x v="3"/>
    <n v="5296"/>
    <x v="32"/>
    <d v="2020-05-05T00:00:00"/>
    <n v="8"/>
    <n v="36990"/>
    <x v="0"/>
  </r>
  <r>
    <n v="23212"/>
    <s v="James"/>
    <s v="Dickens"/>
    <s v="India "/>
    <x v="0"/>
    <x v="0"/>
    <s v="81 31 08"/>
    <s v="james.dickens@gmail.com"/>
    <x v="4"/>
    <n v="5491"/>
    <x v="32"/>
    <d v="2020-05-05T00:00:00"/>
    <n v="3"/>
    <n v="38980"/>
    <x v="0"/>
  </r>
  <r>
    <n v="23338"/>
    <s v="Mary"/>
    <s v="Reid"/>
    <s v="India "/>
    <x v="2"/>
    <x v="2"/>
    <s v="38 84 21"/>
    <s v="mary.reid@gmail.com"/>
    <x v="0"/>
    <n v="5280"/>
    <x v="32"/>
    <d v="2020-05-04T00:00:00"/>
    <n v="5"/>
    <n v="66989"/>
    <x v="0"/>
  </r>
  <r>
    <n v="20521"/>
    <s v="Thomas"/>
    <s v="Clarkson"/>
    <s v="India "/>
    <x v="2"/>
    <x v="2"/>
    <s v="38 84 21"/>
    <s v="thomas.clarkson@gmail.com"/>
    <x v="2"/>
    <n v="5402"/>
    <x v="33"/>
    <d v="2020-06-24T00:00:00"/>
    <n v="3"/>
    <n v="57999"/>
    <x v="0"/>
  </r>
  <r>
    <n v="25561"/>
    <s v="Samantha"/>
    <s v="Ince"/>
    <s v="India "/>
    <x v="3"/>
    <x v="3"/>
    <s v="11 00 07"/>
    <s v="samantha.ince@gmail.com"/>
    <x v="4"/>
    <n v="4997"/>
    <x v="34"/>
    <d v="2020-04-07T00:00:00"/>
    <n v="5"/>
    <n v="38980"/>
    <x v="0"/>
  </r>
  <r>
    <n v="15600"/>
    <s v="Nicholas"/>
    <s v="Clark"/>
    <s v="India "/>
    <x v="3"/>
    <x v="3"/>
    <s v="11 00 07"/>
    <s v="nicholas.clark@gmail.com"/>
    <x v="0"/>
    <n v="4743"/>
    <x v="33"/>
    <d v="2020-06-24T00:00:00"/>
    <n v="6"/>
    <n v="66989"/>
    <x v="0"/>
  </r>
  <r>
    <n v="13401"/>
    <s v="Victoria"/>
    <s v="Mills"/>
    <s v="India "/>
    <x v="0"/>
    <x v="0"/>
    <s v="81 31 08"/>
    <s v="victoria.mills@gmail.com"/>
    <x v="1"/>
    <n v="5323"/>
    <x v="33"/>
    <d v="2020-06-23T00:00:00"/>
    <n v="8"/>
    <n v="34690"/>
    <x v="0"/>
  </r>
  <r>
    <n v="20171"/>
    <s v="Joanne"/>
    <s v="Black"/>
    <s v="India "/>
    <x v="1"/>
    <x v="1"/>
    <s v="60 50 01"/>
    <s v="joanne.black@gmail.com"/>
    <x v="2"/>
    <n v="4755"/>
    <x v="34"/>
    <d v="2020-04-07T00:00:00"/>
    <n v="4"/>
    <n v="57999"/>
    <x v="0"/>
  </r>
  <r>
    <n v="15788"/>
    <s v="Deirdre"/>
    <s v="Arnold"/>
    <s v="India "/>
    <x v="0"/>
    <x v="0"/>
    <s v="81 31 08"/>
    <s v="deirdre.arnold@gmail.com"/>
    <x v="3"/>
    <n v="4941"/>
    <x v="33"/>
    <d v="2020-06-23T00:00:00"/>
    <n v="1"/>
    <n v="36990"/>
    <x v="0"/>
  </r>
  <r>
    <n v="24367"/>
    <s v="Joe"/>
    <s v="Hemmings"/>
    <s v="India "/>
    <x v="2"/>
    <x v="2"/>
    <s v="38 84 21"/>
    <s v="joe.hemmings@gmail.com"/>
    <x v="4"/>
    <n v="5373"/>
    <x v="35"/>
    <d v="2020-01-04T00:00:00"/>
    <n v="1"/>
    <n v="38980"/>
    <x v="0"/>
  </r>
  <r>
    <n v="22645"/>
    <s v="Leonard"/>
    <s v="Metcalfe"/>
    <s v="India "/>
    <x v="2"/>
    <x v="2"/>
    <s v="38 84 21"/>
    <s v="leonard.metcalfe@gmail.com"/>
    <x v="0"/>
    <n v="5401"/>
    <x v="36"/>
    <d v="2020-04-06T00:00:00"/>
    <n v="10"/>
    <n v="66989"/>
    <x v="0"/>
  </r>
  <r>
    <n v="15865"/>
    <s v="Anne"/>
    <s v="Chapman"/>
    <s v="India "/>
    <x v="3"/>
    <x v="3"/>
    <s v="11 00 07"/>
    <s v="anne.chapman@gmail.com"/>
    <x v="2"/>
    <n v="5120"/>
    <x v="36"/>
    <d v="2020-04-06T00:00:00"/>
    <n v="10"/>
    <n v="57999"/>
    <x v="0"/>
  </r>
  <r>
    <n v="16197"/>
    <s v="Piers"/>
    <s v="Ross"/>
    <s v="India "/>
    <x v="0"/>
    <x v="0"/>
    <s v="81 31 08"/>
    <s v="piers.ross@gmail.com"/>
    <x v="3"/>
    <n v="5352"/>
    <x v="37"/>
    <d v="2020-04-11T00:00:00"/>
    <n v="10"/>
    <n v="36990"/>
    <x v="0"/>
  </r>
  <r>
    <n v="17756"/>
    <s v="Joan"/>
    <s v="Short"/>
    <s v="India "/>
    <x v="3"/>
    <x v="3"/>
    <s v="11 00 07"/>
    <s v="joan.short@gmail.com"/>
    <x v="4"/>
    <n v="4563"/>
    <x v="35"/>
    <d v="2020-01-04T00:00:00"/>
    <n v="4"/>
    <n v="38980"/>
    <x v="0"/>
  </r>
  <r>
    <n v="21170"/>
    <s v="Jonathan"/>
    <s v="Wilson"/>
    <s v="India "/>
    <x v="0"/>
    <x v="0"/>
    <s v="81 31 08"/>
    <s v="jonathan.wilson@gmail.com"/>
    <x v="0"/>
    <n v="4810"/>
    <x v="36"/>
    <d v="2020-04-06T00:00:00"/>
    <n v="7"/>
    <n v="66989"/>
    <x v="0"/>
  </r>
  <r>
    <n v="21622"/>
    <s v="Isaac"/>
    <s v="Wright"/>
    <s v="India "/>
    <x v="1"/>
    <x v="1"/>
    <s v="60 50 01"/>
    <s v="isaac.wright@gmail.com"/>
    <x v="2"/>
    <n v="4553"/>
    <x v="36"/>
    <d v="2020-04-06T00:00:00"/>
    <n v="7"/>
    <n v="57999"/>
    <x v="0"/>
  </r>
  <r>
    <n v="15133"/>
    <s v="Mary"/>
    <s v="Arnold"/>
    <s v="India "/>
    <x v="0"/>
    <x v="0"/>
    <s v="81 31 08"/>
    <s v="mary.arnold@gmail.com"/>
    <x v="4"/>
    <n v="4990"/>
    <x v="37"/>
    <d v="2020-04-11T00:00:00"/>
    <n v="7"/>
    <n v="38980"/>
    <x v="0"/>
  </r>
  <r>
    <n v="25147"/>
    <s v="Max"/>
    <s v="Gill"/>
    <s v="India "/>
    <x v="2"/>
    <x v="2"/>
    <s v="38 84 21"/>
    <s v="max.gill@gmail.com"/>
    <x v="0"/>
    <n v="5153"/>
    <x v="38"/>
    <d v="2020-01-13T00:00:00"/>
    <n v="5"/>
    <n v="66989"/>
    <x v="0"/>
  </r>
  <r>
    <n v="18772"/>
    <s v="Piers"/>
    <s v="Abraham"/>
    <s v="India "/>
    <x v="2"/>
    <x v="2"/>
    <s v="38 84 21"/>
    <s v="piers.abraham@gmail.com"/>
    <x v="1"/>
    <n v="5421"/>
    <x v="38"/>
    <d v="2020-01-14T00:00:00"/>
    <n v="9"/>
    <n v="34690"/>
    <x v="0"/>
  </r>
  <r>
    <n v="16142"/>
    <s v="Dylan"/>
    <s v="Reid"/>
    <s v="India "/>
    <x v="3"/>
    <x v="3"/>
    <s v="11 00 07"/>
    <s v="dylan.reid@gmail.com"/>
    <x v="3"/>
    <n v="4533"/>
    <x v="37"/>
    <d v="2020-04-10T00:00:00"/>
    <n v="2"/>
    <n v="36990"/>
    <x v="0"/>
  </r>
  <r>
    <n v="24011"/>
    <s v="Tim"/>
    <s v="Bower"/>
    <s v="India "/>
    <x v="0"/>
    <x v="0"/>
    <s v="81 31 08"/>
    <s v="tim.bower@gmail.com"/>
    <x v="0"/>
    <n v="5423"/>
    <x v="39"/>
    <d v="2020-01-28T00:00:00"/>
    <n v="7"/>
    <n v="66989"/>
    <x v="0"/>
  </r>
  <r>
    <n v="22213"/>
    <s v="Max"/>
    <s v="King"/>
    <s v="India "/>
    <x v="1"/>
    <x v="1"/>
    <s v="60 50 01"/>
    <s v="max.king@gmail.com"/>
    <x v="4"/>
    <n v="4787"/>
    <x v="40"/>
    <d v="2020-05-26T00:00:00"/>
    <n v="7"/>
    <n v="38980"/>
    <x v="0"/>
  </r>
  <r>
    <n v="15893"/>
    <s v="Stewart"/>
    <s v="Peake"/>
    <s v="India "/>
    <x v="0"/>
    <x v="0"/>
    <s v="81 31 08"/>
    <s v="stewart.peake@gmail.com"/>
    <x v="2"/>
    <n v="5421"/>
    <x v="41"/>
    <d v="2020-05-17T00:00:00"/>
    <n v="3"/>
    <n v="57999"/>
    <x v="0"/>
  </r>
  <r>
    <n v="15286"/>
    <s v="Olivia"/>
    <s v="Gray"/>
    <s v="India "/>
    <x v="2"/>
    <x v="2"/>
    <s v="38 84 21"/>
    <s v="olivia.gray@gmail.com"/>
    <x v="3"/>
    <n v="5503"/>
    <x v="41"/>
    <d v="2020-05-17T00:00:00"/>
    <n v="1"/>
    <n v="36990"/>
    <x v="0"/>
  </r>
  <r>
    <n v="14634"/>
    <s v="Olivia"/>
    <s v="Hudson"/>
    <s v="India "/>
    <x v="2"/>
    <x v="2"/>
    <s v="38 84 21"/>
    <s v="olivia.hudson@gmail.com"/>
    <x v="4"/>
    <n v="4780"/>
    <x v="42"/>
    <d v="2020-06-03T00:00:00"/>
    <n v="7"/>
    <n v="38980"/>
    <x v="0"/>
  </r>
  <r>
    <n v="17360"/>
    <s v="Rebecca"/>
    <s v="Thomson"/>
    <s v="India "/>
    <x v="3"/>
    <x v="3"/>
    <s v="11 00 07"/>
    <s v="rebecca.thomson@gmail.com"/>
    <x v="0"/>
    <n v="4573"/>
    <x v="42"/>
    <d v="2020-06-03T00:00:00"/>
    <n v="7"/>
    <n v="66989"/>
    <x v="0"/>
  </r>
  <r>
    <n v="21325"/>
    <s v="Dylan"/>
    <s v="Cornish"/>
    <s v="India "/>
    <x v="0"/>
    <x v="0"/>
    <s v="81 31 08"/>
    <s v="dylan.cornish@gmail.com"/>
    <x v="2"/>
    <n v="5266"/>
    <x v="43"/>
    <d v="2020-01-17T00:00:00"/>
    <n v="6"/>
    <n v="57999"/>
    <x v="0"/>
  </r>
  <r>
    <n v="19763"/>
    <s v="Kevin"/>
    <s v="Langdon"/>
    <s v="India "/>
    <x v="1"/>
    <x v="1"/>
    <s v="60 50 01"/>
    <s v="kevin.langdon@gmail.com"/>
    <x v="4"/>
    <n v="4650"/>
    <x v="44"/>
    <d v="2020-03-16T00:00:00"/>
    <n v="8"/>
    <n v="38980"/>
    <x v="0"/>
  </r>
  <r>
    <n v="21112"/>
    <s v="Wendy"/>
    <s v="Morgan"/>
    <s v="India "/>
    <x v="0"/>
    <x v="0"/>
    <s v="81 31 08"/>
    <s v="wendy.morgan@gmail.com"/>
    <x v="0"/>
    <n v="4783"/>
    <x v="14"/>
    <d v="2020-03-13T00:00:00"/>
    <n v="3"/>
    <n v="66989"/>
    <x v="0"/>
  </r>
  <r>
    <n v="15027"/>
    <s v="Ryan"/>
    <s v="Young"/>
    <s v="India "/>
    <x v="2"/>
    <x v="2"/>
    <s v="38 84 21"/>
    <s v="ryan.young@gmail.com"/>
    <x v="1"/>
    <n v="5303"/>
    <x v="45"/>
    <d v="2020-04-24T00:00:00"/>
    <n v="9"/>
    <n v="34690"/>
    <x v="0"/>
  </r>
  <r>
    <n v="13006"/>
    <s v="Tracey"/>
    <s v="Abraham"/>
    <s v="India "/>
    <x v="2"/>
    <x v="2"/>
    <s v="38 84 21"/>
    <s v="tracey.abraham@gmail.com"/>
    <x v="2"/>
    <n v="5165"/>
    <x v="46"/>
    <d v="2020-01-23T00:00:00"/>
    <n v="2"/>
    <n v="57999"/>
    <x v="0"/>
  </r>
  <r>
    <n v="15885"/>
    <s v="Sonia"/>
    <s v="Pullman"/>
    <s v="India "/>
    <x v="3"/>
    <x v="3"/>
    <s v="11 00 07"/>
    <s v="sonia.pullman@gmail.com"/>
    <x v="3"/>
    <n v="4889"/>
    <x v="18"/>
    <d v="2020-04-22T00:00:00"/>
    <n v="6"/>
    <n v="36990"/>
    <x v="0"/>
  </r>
  <r>
    <n v="22198"/>
    <s v="Alan"/>
    <s v="Hunter"/>
    <s v="India "/>
    <x v="3"/>
    <x v="3"/>
    <s v="11 00 07"/>
    <s v="alan.hunter@gmail.com"/>
    <x v="4"/>
    <n v="5311"/>
    <x v="43"/>
    <d v="2020-01-16T00:00:00"/>
    <n v="2"/>
    <n v="38980"/>
    <x v="0"/>
  </r>
  <r>
    <n v="13789"/>
    <s v="Keith"/>
    <s v="Cameron"/>
    <s v="India "/>
    <x v="0"/>
    <x v="0"/>
    <s v="81 31 08"/>
    <s v="keith.cameron@gmail.com"/>
    <x v="0"/>
    <n v="5363"/>
    <x v="47"/>
    <d v="2020-04-26T00:00:00"/>
    <n v="6"/>
    <n v="66989"/>
    <x v="0"/>
  </r>
  <r>
    <n v="18521"/>
    <s v="Heather"/>
    <s v="Slater"/>
    <s v="India "/>
    <x v="1"/>
    <x v="1"/>
    <s v="60 50 01"/>
    <s v="heather.slater@gmail.com"/>
    <x v="2"/>
    <n v="4839"/>
    <x v="48"/>
    <d v="2020-04-01T00:00:00"/>
    <n v="7"/>
    <n v="57999"/>
    <x v="0"/>
  </r>
  <r>
    <n v="20280"/>
    <s v="Warren"/>
    <s v="Bower"/>
    <s v="India "/>
    <x v="0"/>
    <x v="0"/>
    <s v="81 31 08"/>
    <s v="warren.bower@gmail.com"/>
    <x v="4"/>
    <n v="4770"/>
    <x v="49"/>
    <d v="2020-06-22T00:00:00"/>
    <n v="4"/>
    <n v="38980"/>
    <x v="0"/>
  </r>
  <r>
    <n v="22696"/>
    <s v="Carl"/>
    <s v="Avery"/>
    <s v="India "/>
    <x v="2"/>
    <x v="2"/>
    <s v="38 84 21"/>
    <s v="carl.avery@gmail.com"/>
    <x v="0"/>
    <n v="4722"/>
    <x v="50"/>
    <d v="2020-05-15T00:00:00"/>
    <n v="4"/>
    <n v="66989"/>
    <x v="0"/>
  </r>
  <r>
    <n v="17620"/>
    <s v="Diana"/>
    <s v="Dowd"/>
    <s v="India "/>
    <x v="2"/>
    <x v="2"/>
    <s v="38 84 21"/>
    <s v="diana.dowd@gmail.com"/>
    <x v="1"/>
    <n v="4689"/>
    <x v="51"/>
    <d v="2020-01-26T00:00:00"/>
    <n v="5"/>
    <n v="34690"/>
    <x v="0"/>
  </r>
  <r>
    <n v="13339"/>
    <s v="Deirdre"/>
    <s v="Langdon"/>
    <s v="India "/>
    <x v="3"/>
    <x v="3"/>
    <s v="11 00 07"/>
    <s v="deirdre.langdon@gmail.com"/>
    <x v="3"/>
    <n v="5433"/>
    <x v="22"/>
    <d v="2020-01-04T00:00:00"/>
    <n v="4"/>
    <n v="36990"/>
    <x v="0"/>
  </r>
  <r>
    <n v="25096"/>
    <s v="Neil"/>
    <s v="Campbell"/>
    <s v="India "/>
    <x v="0"/>
    <x v="0"/>
    <s v="81 31 08"/>
    <s v="neil.campbell@gmail.com"/>
    <x v="0"/>
    <n v="5115"/>
    <x v="22"/>
    <d v="2020-01-03T00:00:00"/>
    <n v="2"/>
    <n v="66989"/>
    <x v="0"/>
  </r>
  <r>
    <n v="21959"/>
    <s v="Joe"/>
    <s v="Metcalfe"/>
    <s v="India "/>
    <x v="1"/>
    <x v="1"/>
    <s v="60 50 01"/>
    <s v="joe.metcalfe@gmail.com"/>
    <x v="4"/>
    <n v="4608"/>
    <x v="52"/>
    <d v="2020-01-18T00:00:00"/>
    <n v="9"/>
    <n v="38980"/>
    <x v="0"/>
  </r>
  <r>
    <n v="12670"/>
    <s v="Dorothy"/>
    <s v="Ince"/>
    <s v="India "/>
    <x v="0"/>
    <x v="0"/>
    <s v="81 31 08"/>
    <s v="dorothy.ince@gmail.com"/>
    <x v="2"/>
    <n v="4721"/>
    <x v="35"/>
    <d v="2020-01-05T00:00:00"/>
    <n v="3"/>
    <n v="57999"/>
    <x v="0"/>
  </r>
  <r>
    <n v="25589"/>
    <s v="Chloe"/>
    <s v="Scott"/>
    <s v="India "/>
    <x v="2"/>
    <x v="2"/>
    <s v="38 84 21"/>
    <s v="chloe.scott@gmail.com"/>
    <x v="3"/>
    <n v="5118"/>
    <x v="35"/>
    <d v="2020-01-10T00:00:00"/>
    <n v="1"/>
    <n v="36990"/>
    <x v="0"/>
  </r>
  <r>
    <n v="18955"/>
    <s v="Piers"/>
    <s v="Hunter"/>
    <s v="India "/>
    <x v="2"/>
    <x v="2"/>
    <s v="38 84 21"/>
    <s v="piers.hunter@gmail.com"/>
    <x v="4"/>
    <n v="4618"/>
    <x v="35"/>
    <d v="2020-01-07T00:00:00"/>
    <n v="2"/>
    <n v="38980"/>
    <x v="0"/>
  </r>
  <r>
    <n v="21393"/>
    <s v="Warren"/>
    <s v="Blake"/>
    <s v="India "/>
    <x v="3"/>
    <x v="3"/>
    <s v="11 00 07"/>
    <s v="warren.blake@gmail.com"/>
    <x v="0"/>
    <n v="5129"/>
    <x v="53"/>
    <d v="2020-04-15T00:00:00"/>
    <n v="9"/>
    <n v="66989"/>
    <x v="0"/>
  </r>
  <r>
    <n v="25165"/>
    <s v="Irene"/>
    <s v="Bower"/>
    <s v="India "/>
    <x v="0"/>
    <x v="0"/>
    <s v="81 31 08"/>
    <s v="irene.bower@gmail.com"/>
    <x v="2"/>
    <n v="4558"/>
    <x v="54"/>
    <d v="2020-02-21T00:00:00"/>
    <n v="2"/>
    <n v="57999"/>
    <x v="0"/>
  </r>
  <r>
    <n v="17461"/>
    <s v="Carl"/>
    <s v="MacDonald"/>
    <s v="India "/>
    <x v="1"/>
    <x v="1"/>
    <s v="60 50 01"/>
    <s v="carl.macdonald@gmail.com"/>
    <x v="4"/>
    <n v="5315"/>
    <x v="55"/>
    <d v="2020-05-23T00:00:00"/>
    <n v="5"/>
    <n v="38980"/>
    <x v="0"/>
  </r>
  <r>
    <n v="20581"/>
    <s v="Emma"/>
    <s v="Young"/>
    <s v="India "/>
    <x v="0"/>
    <x v="0"/>
    <s v="81 31 08"/>
    <s v="emma.young@gmail.com"/>
    <x v="0"/>
    <n v="5518"/>
    <x v="54"/>
    <d v="2020-02-21T00:00:00"/>
    <n v="8"/>
    <n v="66989"/>
    <x v="0"/>
  </r>
  <r>
    <n v="24967"/>
    <s v="Thomas"/>
    <s v="Cornish"/>
    <s v="India "/>
    <x v="2"/>
    <x v="2"/>
    <s v="38 84 21"/>
    <s v="thomas.cornish@gmail.com"/>
    <x v="1"/>
    <n v="4679"/>
    <x v="55"/>
    <d v="2020-05-22T00:00:00"/>
    <n v="1"/>
    <n v="34690"/>
    <x v="0"/>
  </r>
  <r>
    <n v="12801"/>
    <s v="Abigail"/>
    <s v="Clark"/>
    <s v="India "/>
    <x v="2"/>
    <x v="2"/>
    <s v="38 84 21"/>
    <s v="abigail.clark@gmail.com"/>
    <x v="0"/>
    <n v="5060"/>
    <x v="55"/>
    <d v="2020-05-23T00:00:00"/>
    <n v="9"/>
    <n v="66989"/>
    <x v="0"/>
  </r>
  <r>
    <n v="24513"/>
    <s v="Amelia"/>
    <s v="Lambert"/>
    <s v="India "/>
    <x v="1"/>
    <x v="1"/>
    <s v="60 50 01"/>
    <s v="amelia.lambert@gmail.com"/>
    <x v="1"/>
    <n v="5331"/>
    <x v="6"/>
    <d v="2020-02-13T00:00:00"/>
    <n v="9"/>
    <n v="34690"/>
    <x v="0"/>
  </r>
  <r>
    <n v="19752"/>
    <s v="Anne"/>
    <s v="Lee"/>
    <s v="India "/>
    <x v="0"/>
    <x v="0"/>
    <s v="81 31 08"/>
    <s v="anne.lee@gmail.com"/>
    <x v="2"/>
    <n v="5008"/>
    <x v="6"/>
    <d v="2020-02-15T00:00:00"/>
    <n v="10"/>
    <n v="57999"/>
    <x v="0"/>
  </r>
  <r>
    <n v="12954"/>
    <s v="Joan"/>
    <s v="Taylor"/>
    <s v="India "/>
    <x v="2"/>
    <x v="2"/>
    <s v="38 84 21"/>
    <s v="joan.taylor@gmail.com"/>
    <x v="3"/>
    <n v="4961"/>
    <x v="37"/>
    <d v="2020-04-11T00:00:00"/>
    <n v="10"/>
    <n v="36990"/>
    <x v="0"/>
  </r>
  <r>
    <n v="16063"/>
    <s v="Joshua"/>
    <s v="Johnston"/>
    <s v="India "/>
    <x v="2"/>
    <x v="2"/>
    <s v="38 84 21"/>
    <s v="joshua.johnston@gmail.com"/>
    <x v="4"/>
    <n v="4530"/>
    <x v="37"/>
    <d v="2020-04-09T00:00:00"/>
    <n v="6"/>
    <n v="38980"/>
    <x v="0"/>
  </r>
  <r>
    <n v="14206"/>
    <s v="Alan"/>
    <s v="Skinner"/>
    <s v="India "/>
    <x v="3"/>
    <x v="3"/>
    <s v="11 00 07"/>
    <s v="alan.skinner@gmail.com"/>
    <x v="0"/>
    <n v="4662"/>
    <x v="37"/>
    <d v="2020-04-10T00:00:00"/>
    <n v="6"/>
    <n v="66989"/>
    <x v="0"/>
  </r>
  <r>
    <n v="17253"/>
    <s v="Eric"/>
    <s v="Wallace"/>
    <s v="India "/>
    <x v="0"/>
    <x v="0"/>
    <s v="81 31 08"/>
    <s v="eric.wallace@gmail.com"/>
    <x v="2"/>
    <n v="5080"/>
    <x v="35"/>
    <d v="2020-01-05T00:00:00"/>
    <n v="5"/>
    <n v="57999"/>
    <x v="0"/>
  </r>
  <r>
    <n v="18940"/>
    <s v="Justin"/>
    <s v="Murray"/>
    <s v="India "/>
    <x v="1"/>
    <x v="1"/>
    <s v="60 50 01"/>
    <s v="justin.murray@gmail.com"/>
    <x v="4"/>
    <n v="5246"/>
    <x v="25"/>
    <d v="2020-04-01T00:00:00"/>
    <n v="5"/>
    <n v="38980"/>
    <x v="0"/>
  </r>
  <r>
    <n v="20283"/>
    <s v="Heather"/>
    <s v="Hudson"/>
    <s v="India "/>
    <x v="0"/>
    <x v="0"/>
    <s v="81 31 08"/>
    <s v="heather.hudson@gmail.com"/>
    <x v="0"/>
    <n v="4952"/>
    <x v="56"/>
    <d v="2020-01-11T00:00:00"/>
    <n v="9"/>
    <n v="66989"/>
    <x v="0"/>
  </r>
  <r>
    <n v="18690"/>
    <s v="Andrew"/>
    <s v="Ellison"/>
    <s v="India "/>
    <x v="2"/>
    <x v="2"/>
    <s v="38 84 21"/>
    <s v="andrew.ellison@gmail.com"/>
    <x v="1"/>
    <n v="4967"/>
    <x v="25"/>
    <d v="2020-04-01T00:00:00"/>
    <n v="7"/>
    <n v="34690"/>
    <x v="0"/>
  </r>
  <r>
    <n v="25256"/>
    <s v="Isaac"/>
    <s v="Howard"/>
    <s v="India "/>
    <x v="2"/>
    <x v="2"/>
    <s v="38 84 21"/>
    <s v="isaac.howard@gmail.com"/>
    <x v="3"/>
    <n v="5039"/>
    <x v="57"/>
    <d v="2020-04-04T00:00:00"/>
    <n v="10"/>
    <n v="36990"/>
    <x v="0"/>
  </r>
  <r>
    <n v="21441"/>
    <s v="Una"/>
    <s v="Manning"/>
    <s v="India "/>
    <x v="3"/>
    <x v="3"/>
    <s v="11 00 07"/>
    <s v="una.manning@gmail.com"/>
    <x v="0"/>
    <n v="5417"/>
    <x v="57"/>
    <d v="2020-04-04T00:00:00"/>
    <n v="10"/>
    <n v="66989"/>
    <x v="0"/>
  </r>
  <r>
    <n v="24863"/>
    <s v="Adam"/>
    <s v="Duncan"/>
    <s v="India "/>
    <x v="0"/>
    <x v="0"/>
    <s v="81 31 08"/>
    <s v="adam.duncan@gmail.com"/>
    <x v="4"/>
    <n v="5303"/>
    <x v="58"/>
    <d v="2020-04-28T00:00:00"/>
    <n v="8"/>
    <n v="38980"/>
    <x v="0"/>
  </r>
  <r>
    <n v="24048"/>
    <s v="Lily"/>
    <s v="Ball"/>
    <s v="India "/>
    <x v="1"/>
    <x v="1"/>
    <s v="60 50 01"/>
    <s v="lily.ball@gmail.com"/>
    <x v="3"/>
    <n v="5486"/>
    <x v="59"/>
    <d v="2020-01-18T00:00:00"/>
    <n v="10"/>
    <n v="36990"/>
    <x v="0"/>
  </r>
  <r>
    <n v="13748"/>
    <s v="Gavin"/>
    <s v="Forsyth"/>
    <s v="India "/>
    <x v="0"/>
    <x v="0"/>
    <s v="81 31 08"/>
    <s v="gavin.forsyth@gmail.com"/>
    <x v="4"/>
    <n v="4739"/>
    <x v="60"/>
    <d v="2020-01-21T00:00:00"/>
    <n v="8"/>
    <n v="38980"/>
    <x v="0"/>
  </r>
  <r>
    <n v="25125"/>
    <s v="Julia"/>
    <s v="Alsop"/>
    <s v="India "/>
    <x v="2"/>
    <x v="2"/>
    <s v="38 84 21"/>
    <s v="julia.alsop@gmail.com"/>
    <x v="0"/>
    <n v="5494"/>
    <x v="42"/>
    <d v="2020-06-02T00:00:00"/>
    <n v="5"/>
    <n v="66989"/>
    <x v="0"/>
  </r>
  <r>
    <n v="16719"/>
    <s v="Abigail"/>
    <s v="Arnold"/>
    <s v="India "/>
    <x v="2"/>
    <x v="2"/>
    <s v="38 84 21"/>
    <s v="abigail.arnold@gmail.com"/>
    <x v="2"/>
    <n v="4771"/>
    <x v="42"/>
    <d v="2020-06-02T00:00:00"/>
    <n v="4"/>
    <n v="57999"/>
    <x v="0"/>
  </r>
  <r>
    <n v="16256"/>
    <s v="Leonard"/>
    <s v="Dickens"/>
    <s v="India "/>
    <x v="3"/>
    <x v="3"/>
    <s v="11 00 07"/>
    <s v="leonard.dickens@gmail.com"/>
    <x v="4"/>
    <n v="5089"/>
    <x v="3"/>
    <d v="2020-05-13T00:00:00"/>
    <n v="1"/>
    <n v="38980"/>
    <x v="0"/>
  </r>
  <r>
    <n v="21026"/>
    <s v="Wendy"/>
    <s v="Langdon"/>
    <s v="India "/>
    <x v="3"/>
    <x v="3"/>
    <s v="11 00 07"/>
    <s v="wendy.langdon@gmail.com"/>
    <x v="0"/>
    <n v="5158"/>
    <x v="4"/>
    <d v="2020-04-09T00:00:00"/>
    <n v="1"/>
    <n v="66989"/>
    <x v="0"/>
  </r>
  <r>
    <n v="16701"/>
    <s v="Ava"/>
    <s v="McDonald"/>
    <s v="India "/>
    <x v="0"/>
    <x v="0"/>
    <s v="81 31 08"/>
    <s v="ava.mcdonald@gmail.com"/>
    <x v="1"/>
    <n v="5162"/>
    <x v="5"/>
    <d v="2020-05-28T00:00:00"/>
    <n v="1"/>
    <n v="34690"/>
    <x v="0"/>
  </r>
  <r>
    <n v="21583"/>
    <s v="Steven"/>
    <s v="Graham"/>
    <s v="India "/>
    <x v="1"/>
    <x v="1"/>
    <s v="60 50 01"/>
    <s v="steven.graham@gmail.com"/>
    <x v="3"/>
    <n v="5503"/>
    <x v="6"/>
    <d v="2020-02-15T00:00:00"/>
    <n v="3"/>
    <n v="36990"/>
    <x v="0"/>
  </r>
  <r>
    <n v="17298"/>
    <s v="Nicholas"/>
    <s v="Arnold"/>
    <s v="India "/>
    <x v="0"/>
    <x v="0"/>
    <s v="81 31 08"/>
    <s v="nicholas.arnold@gmail.com"/>
    <x v="0"/>
    <n v="5225"/>
    <x v="6"/>
    <d v="2020-02-14T00:00:00"/>
    <n v="4"/>
    <n v="66989"/>
    <x v="0"/>
  </r>
  <r>
    <n v="18655"/>
    <s v="Nathan"/>
    <s v="Hemmings"/>
    <s v="India "/>
    <x v="2"/>
    <x v="2"/>
    <s v="38 84 21"/>
    <s v="nathan.hemmings@gmail.com"/>
    <x v="4"/>
    <n v="4831"/>
    <x v="7"/>
    <d v="2020-05-16T00:00:00"/>
    <n v="6"/>
    <n v="38980"/>
    <x v="0"/>
  </r>
  <r>
    <n v="14705"/>
    <s v="David"/>
    <s v="Piper"/>
    <s v="India "/>
    <x v="2"/>
    <x v="2"/>
    <s v="38 84 21"/>
    <s v="david.piper@gmail.com"/>
    <x v="2"/>
    <n v="5082"/>
    <x v="8"/>
    <d v="2020-05-23T00:00:00"/>
    <n v="5"/>
    <n v="57999"/>
    <x v="0"/>
  </r>
  <r>
    <n v="14044"/>
    <s v="Sarah"/>
    <s v="Morrison"/>
    <s v="India "/>
    <x v="3"/>
    <x v="3"/>
    <s v="11 00 07"/>
    <s v="sarah.morrison@gmail.com"/>
    <x v="3"/>
    <n v="4873"/>
    <x v="7"/>
    <d v="2020-05-16T00:00:00"/>
    <n v="8"/>
    <n v="36990"/>
    <x v="0"/>
  </r>
  <r>
    <n v="24696"/>
    <s v="Sally"/>
    <s v="Lawrence"/>
    <s v="India "/>
    <x v="0"/>
    <x v="0"/>
    <s v="81 31 08"/>
    <s v="sally.lawrence@gmail.com"/>
    <x v="4"/>
    <n v="5330"/>
    <x v="8"/>
    <d v="2020-05-22T00:00:00"/>
    <n v="2"/>
    <n v="38980"/>
    <x v="0"/>
  </r>
  <r>
    <n v="24781"/>
    <s v="Isaac"/>
    <s v="Berry"/>
    <s v="India "/>
    <x v="1"/>
    <x v="1"/>
    <s v="60 50 01"/>
    <s v="isaac.berry@gmail.com"/>
    <x v="0"/>
    <n v="4870"/>
    <x v="8"/>
    <d v="2020-05-23T00:00:00"/>
    <n v="10"/>
    <n v="66989"/>
    <x v="0"/>
  </r>
  <r>
    <n v="17375"/>
    <s v="Cameron"/>
    <s v="Lawrence"/>
    <s v="India "/>
    <x v="0"/>
    <x v="0"/>
    <s v="81 31 08"/>
    <s v="cameron.lawrence@gmail.com"/>
    <x v="2"/>
    <n v="5328"/>
    <x v="9"/>
    <d v="2020-01-29T00:00:00"/>
    <n v="3"/>
    <n v="57999"/>
    <x v="0"/>
  </r>
  <r>
    <n v="12726"/>
    <s v="Justin"/>
    <s v="Peters"/>
    <s v="India "/>
    <x v="2"/>
    <x v="2"/>
    <s v="38 84 21"/>
    <s v="justin.peters@gmail.com"/>
    <x v="4"/>
    <n v="4985"/>
    <x v="9"/>
    <d v="2020-01-30T00:00:00"/>
    <n v="1"/>
    <n v="38980"/>
    <x v="0"/>
  </r>
  <r>
    <n v="16451"/>
    <s v="Neil"/>
    <s v="Lewis"/>
    <s v="India "/>
    <x v="2"/>
    <x v="2"/>
    <s v="38 84 21"/>
    <s v="neil.lewis@gmail.com"/>
    <x v="0"/>
    <n v="5069"/>
    <x v="10"/>
    <d v="2020-05-04T00:00:00"/>
    <n v="2"/>
    <n v="66989"/>
    <x v="0"/>
  </r>
  <r>
    <n v="13368"/>
    <s v="Michelle"/>
    <s v="Gibson"/>
    <s v="India "/>
    <x v="3"/>
    <x v="3"/>
    <s v="11 00 07"/>
    <s v="michelle.gibson@gmail.com"/>
    <x v="1"/>
    <n v="5386"/>
    <x v="11"/>
    <d v="2020-02-23T00:00:00"/>
    <n v="2"/>
    <n v="34690"/>
    <x v="0"/>
  </r>
  <r>
    <n v="16722"/>
    <s v="Claire"/>
    <s v="Rampling"/>
    <s v="India "/>
    <x v="0"/>
    <x v="0"/>
    <s v="81 31 08"/>
    <s v="claire.rampling@gmail.com"/>
    <x v="2"/>
    <n v="4568"/>
    <x v="12"/>
    <d v="2020-03-28T00:00:00"/>
    <n v="6"/>
    <n v="57999"/>
    <x v="0"/>
  </r>
  <r>
    <n v="24446"/>
    <s v="Sean"/>
    <s v="Nolan"/>
    <s v="India "/>
    <x v="3"/>
    <x v="3"/>
    <s v="11 00 07"/>
    <s v="sean.nolan@gmail.com"/>
    <x v="3"/>
    <n v="4711"/>
    <x v="13"/>
    <d v="2020-01-22T00:00:00"/>
    <n v="10"/>
    <n v="36990"/>
    <x v="0"/>
  </r>
  <r>
    <n v="19623"/>
    <s v="Anne"/>
    <s v="Powell"/>
    <s v="India "/>
    <x v="0"/>
    <x v="0"/>
    <s v="81 31 08"/>
    <s v="anne.powell@gmail.com"/>
    <x v="4"/>
    <n v="4815"/>
    <x v="14"/>
    <d v="2020-03-19T00:00:00"/>
    <n v="4"/>
    <n v="38980"/>
    <x v="0"/>
  </r>
  <r>
    <n v="18653"/>
    <s v="Bernadette"/>
    <s v="Stewart"/>
    <s v="India "/>
    <x v="1"/>
    <x v="1"/>
    <s v="60 50 01"/>
    <s v="bernadette.stewart@gmail.com"/>
    <x v="0"/>
    <n v="5311"/>
    <x v="15"/>
    <d v="2020-06-17T00:00:00"/>
    <n v="2"/>
    <n v="66989"/>
    <x v="0"/>
  </r>
  <r>
    <n v="23317"/>
    <s v="Lucas"/>
    <s v="Dyer"/>
    <s v="India "/>
    <x v="0"/>
    <x v="0"/>
    <s v="81 31 08"/>
    <s v="lucas.dyer@gmail.com"/>
    <x v="2"/>
    <n v="4893"/>
    <x v="15"/>
    <d v="2020-06-16T00:00:00"/>
    <n v="5"/>
    <n v="57999"/>
    <x v="0"/>
  </r>
  <r>
    <n v="18924"/>
    <s v="Trevor"/>
    <s v="Graham"/>
    <s v="India "/>
    <x v="2"/>
    <x v="2"/>
    <s v="38 84 21"/>
    <s v="trevor.graham@gmail.com"/>
    <x v="4"/>
    <n v="4855"/>
    <x v="16"/>
    <d v="2020-05-11T00:00:00"/>
    <n v="8"/>
    <n v="38980"/>
    <x v="0"/>
  </r>
  <r>
    <n v="17061"/>
    <s v="Vanessa"/>
    <s v="Lawrence"/>
    <s v="India "/>
    <x v="2"/>
    <x v="2"/>
    <s v="38 84 21"/>
    <s v="vanessa.lawrence@gmail.com"/>
    <x v="0"/>
    <n v="5170"/>
    <x v="17"/>
    <d v="2020-03-10T00:00:00"/>
    <n v="1"/>
    <n v="66989"/>
    <x v="0"/>
  </r>
  <r>
    <n v="19458"/>
    <s v="Deirdre"/>
    <s v="Duncan"/>
    <s v="India "/>
    <x v="3"/>
    <x v="3"/>
    <s v="11 00 07"/>
    <s v="deirdre.duncan@gmail.com"/>
    <x v="1"/>
    <n v="4791"/>
    <x v="9"/>
    <d v="2020-01-30T00:00:00"/>
    <n v="7"/>
    <n v="34690"/>
    <x v="0"/>
  </r>
  <r>
    <n v="21427"/>
    <s v="Brian"/>
    <s v="Hill"/>
    <s v="India "/>
    <x v="0"/>
    <x v="0"/>
    <s v="81 31 08"/>
    <s v="brian.hill@gmail.com"/>
    <x v="3"/>
    <n v="5442"/>
    <x v="17"/>
    <d v="2020-03-11T00:00:00"/>
    <n v="10"/>
    <n v="36990"/>
    <x v="0"/>
  </r>
  <r>
    <n v="23937"/>
    <s v="Jessica"/>
    <s v="Cameron"/>
    <s v="India "/>
    <x v="1"/>
    <x v="1"/>
    <s v="60 50 01"/>
    <s v="jessica.cameron@gmail.com"/>
    <x v="0"/>
    <n v="4603"/>
    <x v="18"/>
    <d v="2020-04-21T00:00:00"/>
    <n v="8"/>
    <n v="66989"/>
    <x v="0"/>
  </r>
  <r>
    <n v="25543"/>
    <s v="Michelle"/>
    <s v="Rees"/>
    <s v="India "/>
    <x v="0"/>
    <x v="0"/>
    <s v="81 31 08"/>
    <s v="michelle.rees@gmail.com"/>
    <x v="4"/>
    <n v="5002"/>
    <x v="18"/>
    <d v="2020-04-21T00:00:00"/>
    <n v="9"/>
    <n v="38980"/>
    <x v="0"/>
  </r>
  <r>
    <n v="23164"/>
    <s v="Yvonne"/>
    <s v="Kerr"/>
    <s v="India "/>
    <x v="2"/>
    <x v="2"/>
    <s v="38 84 21"/>
    <s v="yvonne.kerr@gmail.com"/>
    <x v="2"/>
    <n v="5291"/>
    <x v="19"/>
    <d v="2020-05-11T00:00:00"/>
    <n v="1"/>
    <n v="57999"/>
    <x v="0"/>
  </r>
  <r>
    <n v="14019"/>
    <s v="Emma"/>
    <s v="Piper"/>
    <s v="India "/>
    <x v="2"/>
    <x v="2"/>
    <s v="38 84 21"/>
    <s v="emma.piper@gmail.com"/>
    <x v="3"/>
    <n v="4966"/>
    <x v="20"/>
    <d v="2020-06-14T00:00:00"/>
    <n v="2"/>
    <n v="36990"/>
    <x v="0"/>
  </r>
  <r>
    <n v="16273"/>
    <s v="Eric"/>
    <s v="Chapman"/>
    <s v="India "/>
    <x v="3"/>
    <x v="3"/>
    <s v="11 00 07"/>
    <s v="eric.chapman@gmail.com"/>
    <x v="4"/>
    <n v="4759"/>
    <x v="21"/>
    <d v="2020-03-04T00:00:00"/>
    <n v="5"/>
    <n v="38980"/>
    <x v="0"/>
  </r>
  <r>
    <n v="22228"/>
    <s v="David"/>
    <s v="Stewart"/>
    <s v="India "/>
    <x v="0"/>
    <x v="0"/>
    <s v="81 31 08"/>
    <s v="david.stewart@gmail.com"/>
    <x v="0"/>
    <n v="4651"/>
    <x v="21"/>
    <d v="2020-03-02T00:00:00"/>
    <n v="8"/>
    <n v="66989"/>
    <x v="0"/>
  </r>
  <r>
    <n v="16722"/>
    <s v="Faith"/>
    <s v="Arnold"/>
    <s v="India "/>
    <x v="1"/>
    <x v="1"/>
    <s v="60 50 01"/>
    <s v="faith.arnold@gmail.com"/>
    <x v="2"/>
    <n v="4869"/>
    <x v="22"/>
    <d v="2020-01-09T00:00:00"/>
    <n v="4"/>
    <n v="57999"/>
    <x v="0"/>
  </r>
  <r>
    <n v="19054"/>
    <s v="Penelope"/>
    <s v="Lee"/>
    <s v="India "/>
    <x v="0"/>
    <x v="0"/>
    <s v="81 31 08"/>
    <s v="penelope.lee@gmail.com"/>
    <x v="4"/>
    <n v="4545"/>
    <x v="22"/>
    <d v="2020-01-02T00:00:00"/>
    <n v="8"/>
    <n v="38980"/>
    <x v="0"/>
  </r>
  <r>
    <n v="14795"/>
    <s v="Austin"/>
    <s v="Cameron"/>
    <s v="India "/>
    <x v="2"/>
    <x v="2"/>
    <s v="38 84 21"/>
    <s v="austin.cameron@gmail.com"/>
    <x v="0"/>
    <n v="4648"/>
    <x v="22"/>
    <d v="2020-01-04T00:00:00"/>
    <n v="7"/>
    <n v="66989"/>
    <x v="0"/>
  </r>
  <r>
    <n v="25005"/>
    <s v="Virginia"/>
    <s v="Vance"/>
    <s v="India "/>
    <x v="2"/>
    <x v="2"/>
    <s v="38 84 21"/>
    <s v="virginia.vance@gmail.com"/>
    <x v="1"/>
    <n v="5288"/>
    <x v="22"/>
    <d v="2020-01-09T00:00:00"/>
    <n v="9"/>
    <n v="34690"/>
    <x v="0"/>
  </r>
  <r>
    <n v="13069"/>
    <s v="Joe"/>
    <s v="Rampling"/>
    <s v="India "/>
    <x v="2"/>
    <x v="2"/>
    <s v="38 84 21"/>
    <s v="joe.rampling@gmail.com"/>
    <x v="0"/>
    <n v="5377"/>
    <x v="23"/>
    <d v="2020-02-04T00:00:00"/>
    <n v="5"/>
    <n v="66989"/>
    <x v="0"/>
  </r>
  <r>
    <n v="15238"/>
    <s v="Nathan"/>
    <s v="Grant"/>
    <s v="India "/>
    <x v="3"/>
    <x v="3"/>
    <s v="11 00 07"/>
    <s v="nathan.grant@gmail.com"/>
    <x v="1"/>
    <n v="4918"/>
    <x v="23"/>
    <d v="2020-02-04T00:00:00"/>
    <n v="7"/>
    <n v="34690"/>
    <x v="0"/>
  </r>
  <r>
    <n v="19890"/>
    <s v="Julian"/>
    <s v="Campbell"/>
    <s v="India "/>
    <x v="0"/>
    <x v="0"/>
    <s v="81 31 08"/>
    <s v="julian.campbell@gmail.com"/>
    <x v="2"/>
    <n v="5493"/>
    <x v="24"/>
    <d v="2020-03-15T00:00:00"/>
    <n v="9"/>
    <n v="57999"/>
    <x v="0"/>
  </r>
  <r>
    <n v="17803"/>
    <s v="Lillian"/>
    <s v="Sutherland"/>
    <s v="India "/>
    <x v="1"/>
    <x v="1"/>
    <s v="60 50 01"/>
    <s v="lillian.sutherland@gmail.com"/>
    <x v="3"/>
    <n v="4704"/>
    <x v="23"/>
    <d v="2020-02-03T00:00:00"/>
    <n v="4"/>
    <n v="36990"/>
    <x v="0"/>
  </r>
  <r>
    <n v="20565"/>
    <s v="Justin"/>
    <s v="Parsons"/>
    <s v="India "/>
    <x v="0"/>
    <x v="0"/>
    <s v="81 31 08"/>
    <s v="justin.parsons@gmail.com"/>
    <x v="4"/>
    <n v="5192"/>
    <x v="25"/>
    <d v="2020-04-02T00:00:00"/>
    <n v="1"/>
    <n v="38980"/>
    <x v="0"/>
  </r>
  <r>
    <n v="14224"/>
    <s v="Alan"/>
    <s v="Gibson"/>
    <s v="India "/>
    <x v="2"/>
    <x v="2"/>
    <s v="38 84 21"/>
    <s v="alan.gibson@gmail.com"/>
    <x v="0"/>
    <n v="5033"/>
    <x v="26"/>
    <d v="2020-06-08T00:00:00"/>
    <n v="3"/>
    <n v="66989"/>
    <x v="0"/>
  </r>
  <r>
    <n v="14188"/>
    <s v="Jonathan"/>
    <s v="Dickens"/>
    <s v="India "/>
    <x v="2"/>
    <x v="2"/>
    <s v="38 84 21"/>
    <s v="jonathan.dickens@gmail.com"/>
    <x v="2"/>
    <n v="4755"/>
    <x v="27"/>
    <d v="2020-03-23T00:00:00"/>
    <n v="4"/>
    <n v="57999"/>
    <x v="0"/>
  </r>
  <r>
    <n v="22782"/>
    <s v="Boris"/>
    <s v="Newman"/>
    <s v="India "/>
    <x v="3"/>
    <x v="3"/>
    <s v="11 00 07"/>
    <s v="boris.newman@gmail.com"/>
    <x v="4"/>
    <n v="5417"/>
    <x v="27"/>
    <d v="2020-03-25T00:00:00"/>
    <n v="10"/>
    <n v="38980"/>
    <x v="0"/>
  </r>
  <r>
    <n v="25583"/>
    <s v="Kevin"/>
    <s v="North"/>
    <s v="India "/>
    <x v="3"/>
    <x v="3"/>
    <s v="11 00 07"/>
    <s v="kevin.north@gmail.com"/>
    <x v="0"/>
    <n v="5501"/>
    <x v="28"/>
    <d v="2020-05-18T00:00:00"/>
    <n v="9"/>
    <n v="66989"/>
    <x v="0"/>
  </r>
  <r>
    <n v="22830"/>
    <s v="Dylan"/>
    <s v="Graham"/>
    <s v="India "/>
    <x v="0"/>
    <x v="0"/>
    <s v="81 31 08"/>
    <s v="dylan.graham@gmail.com"/>
    <x v="1"/>
    <n v="4747"/>
    <x v="29"/>
    <d v="2020-02-20T00:00:00"/>
    <n v="9"/>
    <n v="34690"/>
    <x v="0"/>
  </r>
  <r>
    <n v="17890"/>
    <s v="Peter"/>
    <s v="Hughes"/>
    <s v="India "/>
    <x v="1"/>
    <x v="1"/>
    <s v="60 50 01"/>
    <s v="peter.hughes@gmail.com"/>
    <x v="3"/>
    <n v="4671"/>
    <x v="30"/>
    <d v="2020-03-06T00:00:00"/>
    <n v="7"/>
    <n v="36990"/>
    <x v="0"/>
  </r>
  <r>
    <n v="17229"/>
    <s v="Emily"/>
    <s v="Manning"/>
    <s v="India "/>
    <x v="0"/>
    <x v="0"/>
    <s v="81 31 08"/>
    <s v="emily.manning@gmail.com"/>
    <x v="0"/>
    <n v="5194"/>
    <x v="28"/>
    <d v="2020-05-19T00:00:00"/>
    <n v="2"/>
    <n v="66989"/>
    <x v="0"/>
  </r>
  <r>
    <n v="13710"/>
    <s v="Lauren"/>
    <s v="Ross"/>
    <s v="India "/>
    <x v="2"/>
    <x v="2"/>
    <s v="38 84 21"/>
    <s v="lauren.ross@gmail.com"/>
    <x v="4"/>
    <n v="5162"/>
    <x v="28"/>
    <d v="2020-05-18T00:00:00"/>
    <n v="5"/>
    <n v="38980"/>
    <x v="0"/>
  </r>
  <r>
    <n v="17186"/>
    <s v="Zoe"/>
    <s v="McGrath"/>
    <s v="India "/>
    <x v="2"/>
    <x v="2"/>
    <s v="38 84 21"/>
    <s v="zoe.mcgrath@gmail.com"/>
    <x v="2"/>
    <n v="5507"/>
    <x v="31"/>
    <d v="2020-06-09T00:00:00"/>
    <n v="9"/>
    <n v="57999"/>
    <x v="0"/>
  </r>
  <r>
    <n v="19451"/>
    <s v="Jonathan"/>
    <s v="Vance"/>
    <s v="India "/>
    <x v="3"/>
    <x v="3"/>
    <s v="11 00 07"/>
    <s v="jonathan.vance@gmail.com"/>
    <x v="3"/>
    <n v="4870"/>
    <x v="32"/>
    <d v="2020-05-05T00:00:00"/>
    <n v="6"/>
    <n v="36990"/>
    <x v="0"/>
  </r>
  <r>
    <n v="12912"/>
    <s v="Nathan"/>
    <s v="Underwood"/>
    <s v="India "/>
    <x v="0"/>
    <x v="0"/>
    <s v="81 31 08"/>
    <s v="nathan.underwood@gmail.com"/>
    <x v="4"/>
    <n v="5037"/>
    <x v="32"/>
    <d v="2020-05-05T00:00:00"/>
    <n v="2"/>
    <n v="38980"/>
    <x v="0"/>
  </r>
  <r>
    <n v="13907"/>
    <s v="Alison"/>
    <s v="Ince"/>
    <s v="India "/>
    <x v="1"/>
    <x v="1"/>
    <s v="60 50 01"/>
    <s v="alison.ince@gmail.com"/>
    <x v="0"/>
    <n v="4852"/>
    <x v="32"/>
    <d v="2020-05-05T00:00:00"/>
    <n v="7"/>
    <n v="66989"/>
    <x v="0"/>
  </r>
  <r>
    <n v="14805"/>
    <s v="Evan"/>
    <s v="Knox"/>
    <s v="India "/>
    <x v="0"/>
    <x v="0"/>
    <s v="81 31 08"/>
    <s v="evan.knox@gmail.com"/>
    <x v="2"/>
    <n v="4596"/>
    <x v="32"/>
    <d v="2020-05-04T00:00:00"/>
    <n v="5"/>
    <n v="57999"/>
    <x v="0"/>
  </r>
  <r>
    <n v="19945"/>
    <s v="Rose"/>
    <s v="Robertson"/>
    <s v="India "/>
    <x v="2"/>
    <x v="2"/>
    <s v="38 84 21"/>
    <s v="rose.robertson@gmail.com"/>
    <x v="4"/>
    <n v="5394"/>
    <x v="33"/>
    <d v="2020-06-24T00:00:00"/>
    <n v="9"/>
    <n v="38980"/>
    <x v="0"/>
  </r>
  <r>
    <n v="18538"/>
    <s v="Sam"/>
    <s v="Cornish"/>
    <s v="India "/>
    <x v="2"/>
    <x v="2"/>
    <s v="38 84 21"/>
    <s v="sam.cornish@gmail.com"/>
    <x v="0"/>
    <n v="4862"/>
    <x v="34"/>
    <d v="2020-04-07T00:00:00"/>
    <n v="3"/>
    <n v="66989"/>
    <x v="0"/>
  </r>
  <r>
    <n v="17349"/>
    <s v="Keith"/>
    <s v="Brown"/>
    <s v="India "/>
    <x v="3"/>
    <x v="3"/>
    <s v="11 00 07"/>
    <s v="keith.brown@gmail.com"/>
    <x v="1"/>
    <n v="5480"/>
    <x v="33"/>
    <d v="2020-06-24T00:00:00"/>
    <n v="4"/>
    <n v="34690"/>
    <x v="0"/>
  </r>
  <r>
    <n v="21072"/>
    <s v="Victor"/>
    <s v="Kerr"/>
    <s v="India "/>
    <x v="0"/>
    <x v="0"/>
    <s v="81 31 08"/>
    <s v="victor.kerr@gmail.com"/>
    <x v="2"/>
    <n v="4984"/>
    <x v="33"/>
    <d v="2020-06-23T00:00:00"/>
    <n v="6"/>
    <n v="57999"/>
    <x v="0"/>
  </r>
  <r>
    <n v="21096"/>
    <s v="Faith"/>
    <s v="Howard"/>
    <s v="India "/>
    <x v="3"/>
    <x v="3"/>
    <s v="11 00 07"/>
    <s v="faith.howard@gmail.com"/>
    <x v="3"/>
    <n v="4793"/>
    <x v="34"/>
    <d v="2020-04-07T00:00:00"/>
    <n v="6"/>
    <n v="36990"/>
    <x v="0"/>
  </r>
  <r>
    <n v="13221"/>
    <s v="Stephanie"/>
    <s v="Slater"/>
    <s v="India "/>
    <x v="0"/>
    <x v="0"/>
    <s v="81 31 08"/>
    <s v="stephanie.slater@gmail.com"/>
    <x v="4"/>
    <n v="4840"/>
    <x v="33"/>
    <d v="2020-06-23T00:00:00"/>
    <n v="2"/>
    <n v="38980"/>
    <x v="0"/>
  </r>
  <r>
    <n v="13024"/>
    <s v="Tracey"/>
    <s v="Carr"/>
    <s v="India "/>
    <x v="1"/>
    <x v="1"/>
    <s v="60 50 01"/>
    <s v="tracey.carr@gmail.com"/>
    <x v="0"/>
    <n v="4777"/>
    <x v="35"/>
    <d v="2020-01-04T00:00:00"/>
    <n v="2"/>
    <n v="66989"/>
    <x v="0"/>
  </r>
  <r>
    <n v="18313"/>
    <s v="Carol"/>
    <s v="MacDonald"/>
    <s v="India "/>
    <x v="0"/>
    <x v="0"/>
    <s v="81 31 08"/>
    <s v="carol.macdonald@gmail.com"/>
    <x v="2"/>
    <n v="5118"/>
    <x v="36"/>
    <d v="2020-04-06T00:00:00"/>
    <n v="6"/>
    <n v="57999"/>
    <x v="0"/>
  </r>
  <r>
    <n v="18155"/>
    <s v="Madeleine"/>
    <s v="MacDonald"/>
    <s v="India "/>
    <x v="2"/>
    <x v="2"/>
    <s v="38 84 21"/>
    <s v="madeleine.macdonald@gmail.com"/>
    <x v="3"/>
    <n v="5469"/>
    <x v="36"/>
    <d v="2020-04-06T00:00:00"/>
    <n v="3"/>
    <n v="36990"/>
    <x v="0"/>
  </r>
  <r>
    <n v="15218"/>
    <s v="Audrey"/>
    <s v="Arnold"/>
    <s v="India "/>
    <x v="0"/>
    <x v="0"/>
    <s v="81 31 08"/>
    <s v="audrey.arnold@gmail.com"/>
    <x v="4"/>
    <n v="5228"/>
    <x v="37"/>
    <d v="2020-04-11T00:00:00"/>
    <n v="10"/>
    <n v="38980"/>
    <x v="0"/>
  </r>
  <r>
    <n v="25643"/>
    <s v="Stephen"/>
    <s v="Arnold"/>
    <s v="India "/>
    <x v="1"/>
    <x v="1"/>
    <s v="60 50 01"/>
    <s v="stephen.arnold@gmail.com"/>
    <x v="0"/>
    <n v="5251"/>
    <x v="35"/>
    <d v="2020-01-04T00:00:00"/>
    <n v="5"/>
    <n v="66989"/>
    <x v="0"/>
  </r>
  <r>
    <n v="19349"/>
    <s v="Carl"/>
    <s v="Nash"/>
    <s v="India "/>
    <x v="0"/>
    <x v="0"/>
    <s v="81 31 08"/>
    <s v="carl.nash@gmail.com"/>
    <x v="2"/>
    <n v="5023"/>
    <x v="36"/>
    <d v="2020-04-06T00:00:00"/>
    <n v="1"/>
    <n v="57999"/>
    <x v="0"/>
  </r>
  <r>
    <n v="22349"/>
    <s v="Bernadette"/>
    <s v="Ogden"/>
    <s v="India "/>
    <x v="2"/>
    <x v="2"/>
    <s v="38 84 21"/>
    <s v="bernadette.ogden@gmail.com"/>
    <x v="4"/>
    <n v="4779"/>
    <x v="3"/>
    <d v="2020-05-14T00:00:00"/>
    <n v="7"/>
    <n v="38980"/>
    <x v="0"/>
  </r>
  <r>
    <n v="21071"/>
    <s v="Carol"/>
    <s v="Bower"/>
    <s v="India "/>
    <x v="2"/>
    <x v="2"/>
    <s v="38 84 21"/>
    <s v="carol.bower@gmail.com"/>
    <x v="0"/>
    <n v="5171"/>
    <x v="3"/>
    <d v="2020-05-13T00:00:00"/>
    <n v="6"/>
    <n v="66989"/>
    <x v="0"/>
  </r>
  <r>
    <n v="17532"/>
    <s v="Blake"/>
    <s v="Ince"/>
    <s v="India "/>
    <x v="3"/>
    <x v="3"/>
    <s v="11 00 07"/>
    <s v="blake.ince@gmail.com"/>
    <x v="1"/>
    <n v="5020"/>
    <x v="3"/>
    <d v="2020-05-13T00:00:00"/>
    <n v="4"/>
    <n v="34690"/>
    <x v="0"/>
  </r>
  <r>
    <n v="21370"/>
    <s v="Ruth"/>
    <s v="Mitchell"/>
    <s v="India "/>
    <x v="0"/>
    <x v="0"/>
    <s v="81 31 08"/>
    <s v="ruth.mitchell@gmail.com"/>
    <x v="3"/>
    <n v="4615"/>
    <x v="3"/>
    <d v="2020-05-13T00:00:00"/>
    <n v="4"/>
    <n v="36990"/>
    <x v="0"/>
  </r>
  <r>
    <n v="21008"/>
    <s v="Alexandra"/>
    <s v="Knox"/>
    <s v="India "/>
    <x v="3"/>
    <x v="3"/>
    <s v="11 00 07"/>
    <s v="alexandra.knox@gmail.com"/>
    <x v="0"/>
    <n v="4922"/>
    <x v="4"/>
    <d v="2020-04-09T00:00:00"/>
    <n v="3"/>
    <n v="66989"/>
    <x v="0"/>
  </r>
  <r>
    <n v="14256"/>
    <s v="Austin"/>
    <s v="Mills"/>
    <s v="India "/>
    <x v="0"/>
    <x v="0"/>
    <s v="81 31 08"/>
    <s v="austin.mills@gmail.com"/>
    <x v="4"/>
    <n v="5168"/>
    <x v="5"/>
    <d v="2020-05-28T00:00:00"/>
    <n v="10"/>
    <n v="38980"/>
    <x v="0"/>
  </r>
  <r>
    <n v="23656"/>
    <s v="Irene"/>
    <s v="Brown"/>
    <s v="India "/>
    <x v="1"/>
    <x v="1"/>
    <s v="60 50 01"/>
    <s v="irene.brown@gmail.com"/>
    <x v="2"/>
    <n v="5459"/>
    <x v="6"/>
    <d v="2020-02-15T00:00:00"/>
    <n v="3"/>
    <n v="57999"/>
    <x v="0"/>
  </r>
  <r>
    <n v="18928"/>
    <s v="Dan"/>
    <s v="Bond"/>
    <s v="India "/>
    <x v="0"/>
    <x v="0"/>
    <s v="81 31 08"/>
    <s v="dan.bond@gmail.com"/>
    <x v="3"/>
    <n v="5101"/>
    <x v="6"/>
    <d v="2020-02-14T00:00:00"/>
    <n v="5"/>
    <n v="36990"/>
    <x v="0"/>
  </r>
  <r>
    <n v="13425"/>
    <s v="Luke"/>
    <s v="Ince"/>
    <s v="India "/>
    <x v="2"/>
    <x v="2"/>
    <s v="38 84 21"/>
    <s v="luke.ince@gmail.com"/>
    <x v="4"/>
    <n v="5289"/>
    <x v="7"/>
    <d v="2020-05-16T00:00:00"/>
    <n v="2"/>
    <n v="38980"/>
    <x v="0"/>
  </r>
  <r>
    <n v="22281"/>
    <s v="Stephanie"/>
    <s v="James"/>
    <s v="India "/>
    <x v="2"/>
    <x v="2"/>
    <s v="38 84 21"/>
    <s v="stephanie.james@gmail.com"/>
    <x v="0"/>
    <n v="4622"/>
    <x v="8"/>
    <d v="2020-05-23T00:00:00"/>
    <n v="8"/>
    <n v="66989"/>
    <x v="0"/>
  </r>
  <r>
    <n v="16988"/>
    <s v="Theresa"/>
    <s v="Mitchell"/>
    <s v="India "/>
    <x v="3"/>
    <x v="3"/>
    <s v="11 00 07"/>
    <s v="theresa.mitchell@gmail.com"/>
    <x v="2"/>
    <n v="5176"/>
    <x v="7"/>
    <d v="2020-05-16T00:00:00"/>
    <n v="4"/>
    <n v="57999"/>
    <x v="0"/>
  </r>
  <r>
    <n v="14613"/>
    <s v="Faith"/>
    <s v="Taylor"/>
    <s v="India "/>
    <x v="0"/>
    <x v="0"/>
    <s v="81 31 08"/>
    <s v="faith.taylor@gmail.com"/>
    <x v="4"/>
    <n v="4826"/>
    <x v="8"/>
    <d v="2020-05-22T00:00:00"/>
    <n v="10"/>
    <n v="38980"/>
    <x v="0"/>
  </r>
  <r>
    <n v="13014"/>
    <s v="Simon"/>
    <s v="Skinner"/>
    <s v="India "/>
    <x v="1"/>
    <x v="1"/>
    <s v="60 50 01"/>
    <s v="simon.skinner@gmail.com"/>
    <x v="0"/>
    <n v="5171"/>
    <x v="8"/>
    <d v="2020-05-23T00:00:00"/>
    <n v="2"/>
    <n v="66989"/>
    <x v="0"/>
  </r>
  <r>
    <n v="14129"/>
    <s v="Karen"/>
    <s v="Bond"/>
    <s v="India "/>
    <x v="0"/>
    <x v="0"/>
    <s v="81 31 08"/>
    <s v="karen.bond@gmail.com"/>
    <x v="1"/>
    <n v="4999"/>
    <x v="9"/>
    <d v="2020-01-29T00:00:00"/>
    <n v="4"/>
    <n v="34690"/>
    <x v="0"/>
  </r>
  <r>
    <n v="15851"/>
    <s v="John"/>
    <s v="Bell"/>
    <s v="India "/>
    <x v="2"/>
    <x v="2"/>
    <s v="38 84 21"/>
    <s v="john.bell@gmail.com"/>
    <x v="2"/>
    <n v="5416"/>
    <x v="9"/>
    <d v="2020-01-30T00:00:00"/>
    <n v="2"/>
    <n v="57999"/>
    <x v="0"/>
  </r>
  <r>
    <n v="21747"/>
    <s v="Diana"/>
    <s v="Knox"/>
    <s v="India "/>
    <x v="2"/>
    <x v="2"/>
    <s v="38 84 21"/>
    <s v="diana.knox@gmail.com"/>
    <x v="3"/>
    <n v="4807"/>
    <x v="10"/>
    <d v="2020-05-04T00:00:00"/>
    <n v="4"/>
    <n v="36990"/>
    <x v="0"/>
  </r>
  <r>
    <n v="19117"/>
    <s v="Blake"/>
    <s v="Hughes"/>
    <s v="India "/>
    <x v="3"/>
    <x v="3"/>
    <s v="11 00 07"/>
    <s v="blake.hughes@gmail.com"/>
    <x v="4"/>
    <n v="5441"/>
    <x v="11"/>
    <d v="2020-02-23T00:00:00"/>
    <n v="7"/>
    <n v="38980"/>
    <x v="0"/>
  </r>
  <r>
    <n v="18462"/>
    <s v="Julian"/>
    <s v="Butler"/>
    <s v="India "/>
    <x v="0"/>
    <x v="0"/>
    <s v="81 31 08"/>
    <s v="julian.butler@gmail.com"/>
    <x v="0"/>
    <n v="4913"/>
    <x v="12"/>
    <d v="2020-03-28T00:00:00"/>
    <n v="8"/>
    <n v="66989"/>
    <x v="0"/>
  </r>
  <r>
    <n v="22275"/>
    <s v="Stewart"/>
    <s v="Brown"/>
    <s v="India "/>
    <x v="1"/>
    <x v="1"/>
    <s v="60 50 01"/>
    <s v="stewart.brown@gmail.com"/>
    <x v="2"/>
    <n v="4713"/>
    <x v="13"/>
    <d v="2020-01-22T00:00:00"/>
    <n v="10"/>
    <n v="57999"/>
    <x v="0"/>
  </r>
  <r>
    <n v="19077"/>
    <s v="Lisa"/>
    <s v="Dyer"/>
    <s v="India "/>
    <x v="0"/>
    <x v="0"/>
    <s v="81 31 08"/>
    <s v="lisa.dyer@gmail.com"/>
    <x v="4"/>
    <n v="5085"/>
    <x v="14"/>
    <d v="2020-03-19T00:00:00"/>
    <n v="4"/>
    <n v="38980"/>
    <x v="0"/>
  </r>
  <r>
    <n v="21580"/>
    <s v="Lauren"/>
    <s v="Paige"/>
    <s v="India "/>
    <x v="2"/>
    <x v="2"/>
    <s v="38 84 21"/>
    <s v="lauren.paige@gmail.com"/>
    <x v="0"/>
    <n v="4728"/>
    <x v="15"/>
    <d v="2020-06-17T00:00:00"/>
    <n v="2"/>
    <n v="66989"/>
    <x v="0"/>
  </r>
  <r>
    <n v="25037"/>
    <s v="Lauren"/>
    <s v="Slater"/>
    <s v="India "/>
    <x v="2"/>
    <x v="2"/>
    <s v="38 84 21"/>
    <s v="lauren.slater@gmail.com"/>
    <x v="1"/>
    <n v="4810"/>
    <x v="15"/>
    <d v="2020-06-16T00:00:00"/>
    <n v="1"/>
    <n v="34690"/>
    <x v="0"/>
  </r>
  <r>
    <n v="20857"/>
    <s v="Nicholas"/>
    <s v="Thomson"/>
    <s v="India "/>
    <x v="2"/>
    <x v="2"/>
    <s v="38 84 21"/>
    <s v="nicholas.thomson@gmail.com"/>
    <x v="3"/>
    <n v="4558"/>
    <x v="16"/>
    <d v="2020-05-11T00:00:00"/>
    <n v="4"/>
    <n v="36990"/>
    <x v="0"/>
  </r>
  <r>
    <n v="16923"/>
    <s v="Eric"/>
    <s v="McLean"/>
    <s v="India "/>
    <x v="3"/>
    <x v="3"/>
    <s v="11 00 07"/>
    <s v="eric.mclean@gmail.com"/>
    <x v="0"/>
    <n v="5461"/>
    <x v="17"/>
    <d v="2020-03-10T00:00:00"/>
    <n v="10"/>
    <n v="66989"/>
    <x v="0"/>
  </r>
  <r>
    <n v="21714"/>
    <s v="Kevin"/>
    <s v="Fisher"/>
    <s v="India "/>
    <x v="2"/>
    <x v="2"/>
    <s v="38 84 21"/>
    <s v="kevin.fisher@gmail.com"/>
    <x v="4"/>
    <n v="5135"/>
    <x v="9"/>
    <d v="2020-01-30T00:00:00"/>
    <n v="5"/>
    <n v="38980"/>
    <x v="0"/>
  </r>
  <r>
    <n v="15744"/>
    <s v="Trevor"/>
    <s v="Davidson"/>
    <s v="India "/>
    <x v="2"/>
    <x v="2"/>
    <s v="38 84 21"/>
    <s v="trevor.davidson@gmail.com"/>
    <x v="2"/>
    <n v="5422"/>
    <x v="17"/>
    <d v="2020-03-11T00:00:00"/>
    <n v="3"/>
    <n v="57999"/>
    <x v="0"/>
  </r>
  <r>
    <n v="15737"/>
    <s v="Diana"/>
    <s v="Grant"/>
    <s v="India "/>
    <x v="3"/>
    <x v="3"/>
    <s v="11 00 07"/>
    <s v="diana.grant@gmail.com"/>
    <x v="3"/>
    <n v="4704"/>
    <x v="18"/>
    <d v="2020-04-21T00:00:00"/>
    <n v="6"/>
    <n v="36990"/>
    <x v="0"/>
  </r>
  <r>
    <n v="21203"/>
    <s v="William"/>
    <s v="Scott"/>
    <s v="India "/>
    <x v="3"/>
    <x v="3"/>
    <s v="11 00 07"/>
    <s v="william.scott@gmail.com"/>
    <x v="4"/>
    <n v="4654"/>
    <x v="18"/>
    <d v="2020-04-21T00:00:00"/>
    <n v="8"/>
    <n v="38980"/>
    <x v="0"/>
  </r>
  <r>
    <n v="23278"/>
    <s v="Bella"/>
    <s v="Graham"/>
    <s v="India "/>
    <x v="0"/>
    <x v="0"/>
    <s v="81 31 08"/>
    <s v="bella.graham@gmail.com"/>
    <x v="0"/>
    <n v="4603"/>
    <x v="19"/>
    <d v="2020-05-11T00:00:00"/>
    <n v="1"/>
    <n v="66989"/>
    <x v="0"/>
  </r>
  <r>
    <n v="25473"/>
    <s v="Colin"/>
    <s v="Poole"/>
    <s v="India "/>
    <x v="1"/>
    <x v="1"/>
    <s v="60 50 01"/>
    <s v="colin.poole@gmail.com"/>
    <x v="2"/>
    <n v="4888"/>
    <x v="20"/>
    <d v="2020-06-14T00:00:00"/>
    <n v="10"/>
    <n v="57999"/>
    <x v="0"/>
  </r>
  <r>
    <n v="18326"/>
    <s v="Dylan"/>
    <s v="Hill"/>
    <s v="India "/>
    <x v="0"/>
    <x v="0"/>
    <s v="81 31 08"/>
    <s v="dylan.hill@gmail.com"/>
    <x v="4"/>
    <n v="4559"/>
    <x v="21"/>
    <d v="2020-03-04T00:00:00"/>
    <n v="6"/>
    <n v="38980"/>
    <x v="0"/>
  </r>
  <r>
    <n v="12772"/>
    <s v="Robert"/>
    <s v="Scott"/>
    <s v="India "/>
    <x v="2"/>
    <x v="2"/>
    <s v="38 84 21"/>
    <s v="robert.scott@gmail.com"/>
    <x v="0"/>
    <n v="4711"/>
    <x v="21"/>
    <d v="2020-03-02T00:00:00"/>
    <n v="5"/>
    <n v="66989"/>
    <x v="0"/>
  </r>
  <r>
    <n v="15836"/>
    <s v="Sarah"/>
    <s v="Quinn"/>
    <s v="India "/>
    <x v="2"/>
    <x v="2"/>
    <s v="38 84 21"/>
    <s v="sarah.quinn@gmail.com"/>
    <x v="1"/>
    <n v="5179"/>
    <x v="22"/>
    <d v="2020-01-09T00:00:00"/>
    <n v="4"/>
    <n v="34690"/>
    <x v="0"/>
  </r>
  <r>
    <n v="22922"/>
    <s v="Tracey"/>
    <s v="North"/>
    <s v="India "/>
    <x v="3"/>
    <x v="3"/>
    <s v="11 00 07"/>
    <s v="tracey.north@gmail.com"/>
    <x v="0"/>
    <n v="4902"/>
    <x v="22"/>
    <d v="2020-01-02T00:00:00"/>
    <n v="5"/>
    <n v="66989"/>
    <x v="0"/>
  </r>
  <r>
    <n v="18690"/>
    <s v="Robert"/>
    <s v="Black"/>
    <s v="India "/>
    <x v="0"/>
    <x v="0"/>
    <s v="81 31 08"/>
    <s v="robert.black@gmail.com"/>
    <x v="1"/>
    <n v="4664"/>
    <x v="22"/>
    <d v="2020-01-04T00:00:00"/>
    <n v="7"/>
    <n v="34690"/>
    <x v="0"/>
  </r>
  <r>
    <n v="14352"/>
    <s v="Victor"/>
    <s v="Berry"/>
    <s v="India "/>
    <x v="1"/>
    <x v="1"/>
    <s v="60 50 01"/>
    <s v="victor.berry@gmail.com"/>
    <x v="2"/>
    <n v="5507"/>
    <x v="22"/>
    <d v="2020-01-09T00:00:00"/>
    <n v="9"/>
    <n v="57999"/>
    <x v="0"/>
  </r>
  <r>
    <n v="20984"/>
    <s v="Piers"/>
    <s v="Payne"/>
    <s v="India "/>
    <x v="0"/>
    <x v="0"/>
    <s v="81 31 08"/>
    <s v="piers.payne@gmail.com"/>
    <x v="3"/>
    <n v="5298"/>
    <x v="23"/>
    <d v="2020-02-04T00:00:00"/>
    <n v="3"/>
    <n v="36990"/>
    <x v="0"/>
  </r>
  <r>
    <n v="12617"/>
    <s v="Leonard"/>
    <s v="Clarkson"/>
    <s v="India "/>
    <x v="2"/>
    <x v="2"/>
    <s v="38 84 21"/>
    <s v="leonard.clarkson@gmail.com"/>
    <x v="4"/>
    <n v="4828"/>
    <x v="23"/>
    <d v="2020-02-04T00:00:00"/>
    <n v="2"/>
    <n v="38980"/>
    <x v="0"/>
  </r>
  <r>
    <n v="19301"/>
    <s v="Adrian"/>
    <s v="Hill"/>
    <s v="India "/>
    <x v="2"/>
    <x v="2"/>
    <s v="38 84 21"/>
    <s v="adrian.hill@gmail.com"/>
    <x v="0"/>
    <n v="4914"/>
    <x v="24"/>
    <d v="2020-03-15T00:00:00"/>
    <n v="5"/>
    <n v="66989"/>
    <x v="0"/>
  </r>
  <r>
    <n v="20845"/>
    <s v="Isaac"/>
    <s v="Carr"/>
    <s v="India "/>
    <x v="3"/>
    <x v="3"/>
    <s v="11 00 07"/>
    <s v="isaac.carr@gmail.com"/>
    <x v="2"/>
    <n v="4803"/>
    <x v="23"/>
    <d v="2020-02-03T00:00:00"/>
    <n v="10"/>
    <n v="57999"/>
    <x v="0"/>
  </r>
  <r>
    <n v="13529"/>
    <s v="Theresa"/>
    <s v="Abraham"/>
    <s v="India "/>
    <x v="0"/>
    <x v="0"/>
    <s v="81 31 08"/>
    <s v="theresa.abraham@gmail.com"/>
    <x v="4"/>
    <n v="5009"/>
    <x v="25"/>
    <d v="2020-04-02T00:00:00"/>
    <n v="10"/>
    <n v="38980"/>
    <x v="0"/>
  </r>
  <r>
    <n v="19388"/>
    <s v="Grace"/>
    <s v="Young"/>
    <s v="India "/>
    <x v="3"/>
    <x v="3"/>
    <s v="11 00 07"/>
    <s v="grace.young@gmail.com"/>
    <x v="0"/>
    <n v="5257"/>
    <x v="26"/>
    <d v="2020-06-08T00:00:00"/>
    <n v="3"/>
    <n v="66989"/>
    <x v="0"/>
  </r>
  <r>
    <n v="18808"/>
    <s v="Lily"/>
    <s v="Graham"/>
    <s v="India "/>
    <x v="0"/>
    <x v="0"/>
    <s v="81 31 08"/>
    <s v="lily.graham@gmail.com"/>
    <x v="1"/>
    <n v="5326"/>
    <x v="27"/>
    <d v="2020-03-23T00:00:00"/>
    <n v="2"/>
    <n v="34690"/>
    <x v="0"/>
  </r>
  <r>
    <n v="25278"/>
    <s v="Richard"/>
    <s v="Hunter"/>
    <s v="India "/>
    <x v="1"/>
    <x v="1"/>
    <s v="60 50 01"/>
    <s v="richard.hunter@gmail.com"/>
    <x v="3"/>
    <n v="5106"/>
    <x v="27"/>
    <d v="2020-03-25T00:00:00"/>
    <n v="9"/>
    <n v="36990"/>
    <x v="0"/>
  </r>
  <r>
    <n v="19105"/>
    <s v="Bella"/>
    <s v="Chapman"/>
    <s v="India "/>
    <x v="0"/>
    <x v="0"/>
    <s v="81 31 08"/>
    <s v="bella.chapman@gmail.com"/>
    <x v="0"/>
    <n v="4554"/>
    <x v="28"/>
    <d v="2020-05-18T00:00:00"/>
    <n v="4"/>
    <n v="66989"/>
    <x v="0"/>
  </r>
  <r>
    <n v="18503"/>
    <s v="Irene"/>
    <s v="Cameron"/>
    <s v="India "/>
    <x v="2"/>
    <x v="2"/>
    <s v="38 84 21"/>
    <s v="irene.cameron@gmail.com"/>
    <x v="4"/>
    <n v="5373"/>
    <x v="29"/>
    <d v="2020-02-20T00:00:00"/>
    <n v="9"/>
    <n v="38980"/>
    <x v="0"/>
  </r>
  <r>
    <n v="14291"/>
    <s v="Gordon"/>
    <s v="Metcalfe"/>
    <s v="India "/>
    <x v="0"/>
    <x v="0"/>
    <s v="81 31 08"/>
    <s v="gordon.metcalfe@gmail.com"/>
    <x v="2"/>
    <n v="4955"/>
    <x v="30"/>
    <d v="2020-03-06T00:00:00"/>
    <n v="8"/>
    <n v="57999"/>
    <x v="0"/>
  </r>
  <r>
    <n v="14310"/>
    <s v="Ruth"/>
    <s v="Sharp"/>
    <s v="India "/>
    <x v="1"/>
    <x v="1"/>
    <s v="60 50 01"/>
    <s v="ruth.sharp@gmail.com"/>
    <x v="3"/>
    <n v="4945"/>
    <x v="28"/>
    <d v="2020-05-19T00:00:00"/>
    <n v="6"/>
    <n v="36990"/>
    <x v="0"/>
  </r>
  <r>
    <n v="15266"/>
    <s v="Heather"/>
    <s v="Harris"/>
    <s v="India "/>
    <x v="0"/>
    <x v="0"/>
    <s v="81 31 08"/>
    <s v="heather.harris@gmail.com"/>
    <x v="4"/>
    <n v="4838"/>
    <x v="28"/>
    <d v="2020-05-18T00:00:00"/>
    <n v="5"/>
    <n v="38980"/>
    <x v="0"/>
  </r>
  <r>
    <n v="18743"/>
    <s v="Phil"/>
    <s v="Wallace"/>
    <s v="India "/>
    <x v="2"/>
    <x v="2"/>
    <s v="38 84 21"/>
    <s v="phil.wallace@gmail.com"/>
    <x v="0"/>
    <n v="4714"/>
    <x v="31"/>
    <d v="2020-06-09T00:00:00"/>
    <n v="6"/>
    <n v="66989"/>
    <x v="0"/>
  </r>
  <r>
    <n v="13558"/>
    <s v="Wendy"/>
    <s v="Hamilton"/>
    <s v="India "/>
    <x v="2"/>
    <x v="2"/>
    <s v="38 84 21"/>
    <s v="wendy.hamilton@gmail.com"/>
    <x v="2"/>
    <n v="4622"/>
    <x v="32"/>
    <d v="2020-05-05T00:00:00"/>
    <n v="4"/>
    <n v="57999"/>
    <x v="0"/>
  </r>
  <r>
    <n v="17384"/>
    <s v="John"/>
    <s v="Graham"/>
    <s v="India "/>
    <x v="2"/>
    <x v="2"/>
    <s v="38 84 21"/>
    <s v="john.graham@gmail.com"/>
    <x v="4"/>
    <n v="4837"/>
    <x v="32"/>
    <d v="2020-05-05T00:00:00"/>
    <n v="3"/>
    <n v="38980"/>
    <x v="0"/>
  </r>
  <r>
    <n v="17157"/>
    <s v="Claire"/>
    <s v="Simpson"/>
    <s v="India "/>
    <x v="2"/>
    <x v="2"/>
    <s v="38 84 21"/>
    <s v="claire.simpson@gmail.com"/>
    <x v="0"/>
    <n v="4591"/>
    <x v="32"/>
    <d v="2020-05-05T00:00:00"/>
    <n v="8"/>
    <n v="66989"/>
    <x v="0"/>
  </r>
  <r>
    <n v="24122"/>
    <s v="Lauren"/>
    <s v="Knox"/>
    <s v="India "/>
    <x v="3"/>
    <x v="3"/>
    <s v="11 00 07"/>
    <s v="lauren.knox@gmail.com"/>
    <x v="1"/>
    <n v="5407"/>
    <x v="32"/>
    <d v="2020-05-04T00:00:00"/>
    <n v="8"/>
    <n v="34690"/>
    <x v="0"/>
  </r>
  <r>
    <n v="15921"/>
    <s v="Abigail"/>
    <s v="Watson"/>
    <s v="India "/>
    <x v="0"/>
    <x v="0"/>
    <s v="81 31 08"/>
    <s v="abigail.watson@gmail.com"/>
    <x v="0"/>
    <n v="5412"/>
    <x v="33"/>
    <d v="2020-06-24T00:00:00"/>
    <n v="2"/>
    <n v="66989"/>
    <x v="0"/>
  </r>
  <r>
    <n v="20003"/>
    <s v="Charles"/>
    <s v="Walker"/>
    <s v="India "/>
    <x v="1"/>
    <x v="1"/>
    <s v="60 50 01"/>
    <s v="charles.walker@gmail.com"/>
    <x v="1"/>
    <n v="5346"/>
    <x v="34"/>
    <d v="2020-04-07T00:00:00"/>
    <n v="1"/>
    <n v="34690"/>
    <x v="0"/>
  </r>
  <r>
    <n v="12568"/>
    <s v="Andrea"/>
    <s v="Ogden"/>
    <s v="India "/>
    <x v="0"/>
    <x v="0"/>
    <n v="123456"/>
    <s v="andrea.ogden@gmail.com"/>
    <x v="2"/>
    <n v="5124"/>
    <x v="33"/>
    <d v="2020-06-24T00:00:00"/>
    <n v="8"/>
    <n v="57999"/>
    <x v="0"/>
  </r>
  <r>
    <n v="23389"/>
    <s v="Faith"/>
    <s v="Thomson"/>
    <s v="India "/>
    <x v="2"/>
    <x v="2"/>
    <s v="38 84 21"/>
    <s v="faith.thomson@gmail.com"/>
    <x v="3"/>
    <n v="5436"/>
    <x v="33"/>
    <d v="2020-06-23T00:00:00"/>
    <n v="8"/>
    <n v="36990"/>
    <x v="0"/>
  </r>
  <r>
    <n v="16937"/>
    <s v="David"/>
    <s v="Martin"/>
    <s v="India "/>
    <x v="2"/>
    <x v="2"/>
    <s v="38 84 21"/>
    <s v="david.martin@gmail.com"/>
    <x v="4"/>
    <n v="5496"/>
    <x v="34"/>
    <d v="2020-04-07T00:00:00"/>
    <n v="10"/>
    <n v="38980"/>
    <x v="0"/>
  </r>
  <r>
    <n v="23302"/>
    <s v="Frank"/>
    <s v="Short"/>
    <s v="India "/>
    <x v="3"/>
    <x v="3"/>
    <s v="11 00 07"/>
    <s v="frank.short@gmail.com"/>
    <x v="0"/>
    <n v="5307"/>
    <x v="33"/>
    <d v="2020-06-23T00:00:00"/>
    <n v="1"/>
    <n v="66989"/>
    <x v="0"/>
  </r>
  <r>
    <n v="23310"/>
    <s v="Ruth"/>
    <s v="Greene"/>
    <s v="India "/>
    <x v="0"/>
    <x v="0"/>
    <s v="81 31 08"/>
    <s v="ruth.greene@gmail.com"/>
    <x v="2"/>
    <n v="5297"/>
    <x v="35"/>
    <d v="2020-01-04T00:00:00"/>
    <n v="4"/>
    <n v="57999"/>
    <x v="0"/>
  </r>
  <r>
    <n v="25467"/>
    <s v="Kevin"/>
    <s v="Lee"/>
    <s v="India "/>
    <x v="1"/>
    <x v="1"/>
    <s v="60 50 01"/>
    <s v="kevin.lee@gmail.com"/>
    <x v="4"/>
    <n v="4723"/>
    <x v="36"/>
    <d v="2020-04-06T00:00:00"/>
    <n v="1"/>
    <n v="38980"/>
    <x v="0"/>
  </r>
  <r>
    <n v="21592"/>
    <s v="Evan"/>
    <s v="Davies"/>
    <s v="India "/>
    <x v="0"/>
    <x v="0"/>
    <s v="81 31 08"/>
    <s v="evan.davies@gmail.com"/>
    <x v="0"/>
    <n v="5360"/>
    <x v="36"/>
    <d v="2020-04-06T00:00:00"/>
    <n v="2"/>
    <n v="66989"/>
    <x v="0"/>
  </r>
  <r>
    <n v="19207"/>
    <s v="Sarah"/>
    <s v="Turner"/>
    <s v="India "/>
    <x v="2"/>
    <x v="2"/>
    <s v="38 84 21"/>
    <s v="sarah.turner@gmail.com"/>
    <x v="1"/>
    <n v="5055"/>
    <x v="37"/>
    <d v="2020-04-11T00:00:00"/>
    <n v="1"/>
    <n v="34690"/>
    <x v="0"/>
  </r>
  <r>
    <n v="14591"/>
    <s v="Chloe"/>
    <s v="Arnold"/>
    <s v="India "/>
    <x v="2"/>
    <x v="2"/>
    <s v="38 84 21"/>
    <s v="chloe.arnold@gmail.com"/>
    <x v="3"/>
    <n v="5136"/>
    <x v="35"/>
    <d v="2020-01-04T00:00:00"/>
    <n v="3"/>
    <n v="36990"/>
    <x v="0"/>
  </r>
  <r>
    <n v="24580"/>
    <s v="Nicholas"/>
    <s v="Lee"/>
    <s v="India "/>
    <x v="2"/>
    <x v="2"/>
    <s v="38 84 21"/>
    <s v="nicholas.lee@gmail.com"/>
    <x v="0"/>
    <n v="4543"/>
    <x v="36"/>
    <d v="2020-04-06T00:00:00"/>
    <n v="3"/>
    <n v="66989"/>
    <x v="0"/>
  </r>
  <r>
    <n v="24473"/>
    <s v="Dylan"/>
    <s v="Springer"/>
    <s v="India "/>
    <x v="3"/>
    <x v="3"/>
    <s v="11 00 07"/>
    <s v="dylan.springer@gmail.com"/>
    <x v="4"/>
    <n v="5138"/>
    <x v="36"/>
    <d v="2020-04-06T00:00:00"/>
    <n v="6"/>
    <n v="38980"/>
    <x v="0"/>
  </r>
  <r>
    <n v="25217"/>
    <s v="Heather"/>
    <s v="Churchill"/>
    <s v="India "/>
    <x v="2"/>
    <x v="2"/>
    <s v="38 84 21"/>
    <s v="heather.churchill@gmail.com"/>
    <x v="2"/>
    <n v="5033"/>
    <x v="37"/>
    <d v="2020-04-11T00:00:00"/>
    <n v="2"/>
    <n v="57999"/>
    <x v="0"/>
  </r>
  <r>
    <n v="18415"/>
    <s v="Amanda"/>
    <s v="Avery"/>
    <s v="India "/>
    <x v="2"/>
    <x v="2"/>
    <s v="38 84 21"/>
    <s v="amanda.avery@gmail.com"/>
    <x v="3"/>
    <n v="4845"/>
    <x v="38"/>
    <d v="2020-01-13T00:00:00"/>
    <n v="1"/>
    <n v="36990"/>
    <x v="0"/>
  </r>
  <r>
    <n v="18829"/>
    <s v="Anne"/>
    <s v="Lewis"/>
    <s v="India "/>
    <x v="3"/>
    <x v="3"/>
    <s v="11 00 07"/>
    <s v="anne.lewis@gmail.com"/>
    <x v="4"/>
    <n v="5039"/>
    <x v="38"/>
    <d v="2020-01-14T00:00:00"/>
    <n v="4"/>
    <n v="38980"/>
    <x v="0"/>
  </r>
  <r>
    <n v="15311"/>
    <s v="Stephen"/>
    <s v="Gibson"/>
    <s v="India "/>
    <x v="3"/>
    <x v="3"/>
    <s v="11 00 07"/>
    <s v="stephen.gibson@gmail.com"/>
    <x v="0"/>
    <n v="5441"/>
    <x v="37"/>
    <d v="2020-04-10T00:00:00"/>
    <n v="3"/>
    <n v="66989"/>
    <x v="0"/>
  </r>
  <r>
    <n v="22818"/>
    <s v="Jasmine"/>
    <s v="Young"/>
    <s v="India "/>
    <x v="0"/>
    <x v="0"/>
    <s v="81 31 08"/>
    <s v="jasmine.young@gmail.com"/>
    <x v="2"/>
    <n v="4535"/>
    <x v="39"/>
    <d v="2020-01-28T00:00:00"/>
    <n v="5"/>
    <n v="57999"/>
    <x v="0"/>
  </r>
  <r>
    <n v="19406"/>
    <s v="Bernadette"/>
    <s v="Cornish"/>
    <s v="India "/>
    <x v="1"/>
    <x v="1"/>
    <s v="60 50 01"/>
    <s v="bernadette.cornish@gmail.com"/>
    <x v="4"/>
    <n v="5241"/>
    <x v="40"/>
    <d v="2020-05-26T00:00:00"/>
    <n v="6"/>
    <n v="38980"/>
    <x v="0"/>
  </r>
  <r>
    <n v="15789"/>
    <s v="Jessica"/>
    <s v="Abraham"/>
    <s v="India "/>
    <x v="0"/>
    <x v="0"/>
    <s v="81 31 08"/>
    <s v="jessica.abraham@gmail.com"/>
    <x v="0"/>
    <n v="4852"/>
    <x v="41"/>
    <d v="2020-05-17T00:00:00"/>
    <n v="6"/>
    <n v="66989"/>
    <x v="0"/>
  </r>
  <r>
    <n v="22207"/>
    <s v="Phil"/>
    <s v="Davies"/>
    <s v="India "/>
    <x v="2"/>
    <x v="2"/>
    <s v="38 84 21"/>
    <s v="phil.davies@gmail.com"/>
    <x v="1"/>
    <n v="5452"/>
    <x v="41"/>
    <d v="2020-05-17T00:00:00"/>
    <n v="10"/>
    <n v="34690"/>
    <x v="0"/>
  </r>
  <r>
    <n v="18711"/>
    <s v="Victor"/>
    <s v="Abraham"/>
    <s v="India "/>
    <x v="2"/>
    <x v="2"/>
    <s v="38 84 21"/>
    <s v="victor.abraham@gmail.com"/>
    <x v="2"/>
    <n v="5052"/>
    <x v="42"/>
    <d v="2020-06-03T00:00:00"/>
    <n v="3"/>
    <n v="57999"/>
    <x v="0"/>
  </r>
  <r>
    <n v="14465"/>
    <s v="Stewart"/>
    <s v="Skinner"/>
    <s v="India "/>
    <x v="3"/>
    <x v="3"/>
    <s v="11 00 07"/>
    <s v="stewart.skinner@gmail.com"/>
    <x v="3"/>
    <n v="4691"/>
    <x v="42"/>
    <d v="2020-06-03T00:00:00"/>
    <n v="3"/>
    <n v="36990"/>
    <x v="0"/>
  </r>
  <r>
    <n v="17872"/>
    <s v="Jessica"/>
    <s v="Dickens"/>
    <s v="India "/>
    <x v="0"/>
    <x v="0"/>
    <s v="81 31 08"/>
    <s v="jessica.dickens@gmail.com"/>
    <x v="4"/>
    <n v="5466"/>
    <x v="43"/>
    <d v="2020-01-17T00:00:00"/>
    <n v="6"/>
    <n v="38980"/>
    <x v="0"/>
  </r>
  <r>
    <n v="23215"/>
    <s v="Adrian"/>
    <s v="Underwood"/>
    <s v="India "/>
    <x v="2"/>
    <x v="2"/>
    <s v="38 84 21"/>
    <s v="adrian.underwood@gmail.com"/>
    <x v="0"/>
    <n v="5467"/>
    <x v="44"/>
    <d v="2020-03-16T00:00:00"/>
    <n v="3"/>
    <n v="66989"/>
    <x v="0"/>
  </r>
  <r>
    <n v="13172"/>
    <s v="Samantha"/>
    <s v="Robertson"/>
    <s v="India "/>
    <x v="3"/>
    <x v="3"/>
    <s v="11 00 07"/>
    <s v="samantha.robertson@gmail.com"/>
    <x v="2"/>
    <n v="5119"/>
    <x v="14"/>
    <d v="2020-03-13T00:00:00"/>
    <n v="2"/>
    <n v="57999"/>
    <x v="0"/>
  </r>
  <r>
    <n v="24542"/>
    <s v="Sue"/>
    <s v="Welch"/>
    <s v="India "/>
    <x v="0"/>
    <x v="0"/>
    <s v="81 31 08"/>
    <s v="sue.welch@gmail.com"/>
    <x v="3"/>
    <n v="4969"/>
    <x v="45"/>
    <d v="2020-04-24T00:00:00"/>
    <n v="10"/>
    <n v="36990"/>
    <x v="0"/>
  </r>
  <r>
    <n v="13710"/>
    <s v="Kimberly"/>
    <s v="Wright"/>
    <s v="India "/>
    <x v="3"/>
    <x v="3"/>
    <s v="11 00 07"/>
    <s v="kimberly.wright@gmail.com"/>
    <x v="4"/>
    <n v="4953"/>
    <x v="46"/>
    <d v="2020-01-23T00:00:00"/>
    <n v="4"/>
    <n v="38980"/>
    <x v="0"/>
  </r>
  <r>
    <n v="21491"/>
    <s v="Virginia"/>
    <s v="Wilkins"/>
    <s v="India "/>
    <x v="0"/>
    <x v="0"/>
    <s v="81 31 08"/>
    <s v="virginia.wilkins@gmail.com"/>
    <x v="0"/>
    <n v="5116"/>
    <x v="18"/>
    <d v="2020-04-22T00:00:00"/>
    <n v="10"/>
    <n v="66989"/>
    <x v="0"/>
  </r>
  <r>
    <n v="18383"/>
    <s v="Bella"/>
    <s v="Coleman"/>
    <s v="India "/>
    <x v="1"/>
    <x v="1"/>
    <s v="60 50 01"/>
    <s v="bella.coleman@gmail.com"/>
    <x v="2"/>
    <n v="4941"/>
    <x v="43"/>
    <d v="2020-01-16T00:00:00"/>
    <n v="7"/>
    <n v="57999"/>
    <x v="0"/>
  </r>
  <r>
    <n v="17098"/>
    <s v="Oliver"/>
    <s v="Langdon"/>
    <s v="India "/>
    <x v="0"/>
    <x v="0"/>
    <s v="81 31 08"/>
    <s v="oliver.langdon@gmail.com"/>
    <x v="4"/>
    <n v="5273"/>
    <x v="47"/>
    <d v="2020-04-26T00:00:00"/>
    <n v="7"/>
    <n v="38980"/>
    <x v="0"/>
  </r>
  <r>
    <n v="13118"/>
    <s v="Angela"/>
    <s v="Greene"/>
    <s v="India "/>
    <x v="2"/>
    <x v="2"/>
    <s v="38 84 21"/>
    <s v="angela.greene@gmail.com"/>
    <x v="0"/>
    <n v="5434"/>
    <x v="48"/>
    <d v="2020-04-01T00:00:00"/>
    <n v="8"/>
    <n v="66989"/>
    <x v="0"/>
  </r>
  <r>
    <n v="13991"/>
    <s v="Carl"/>
    <s v="Carr"/>
    <s v="India "/>
    <x v="0"/>
    <x v="0"/>
    <s v="81 31 08"/>
    <s v="carl.carr@gmail.com"/>
    <x v="1"/>
    <n v="5459"/>
    <x v="49"/>
    <d v="2020-06-22T00:00:00"/>
    <n v="4"/>
    <n v="34690"/>
    <x v="0"/>
  </r>
  <r>
    <n v="22428"/>
    <s v="Christopher"/>
    <s v="Paige"/>
    <s v="India "/>
    <x v="1"/>
    <x v="1"/>
    <s v="60 50 01"/>
    <s v="christopher.paige@gmail.com"/>
    <x v="3"/>
    <n v="5141"/>
    <x v="50"/>
    <d v="2020-05-15T00:00:00"/>
    <n v="1"/>
    <n v="36990"/>
    <x v="0"/>
  </r>
  <r>
    <n v="16694"/>
    <s v="Ian"/>
    <s v="Smith"/>
    <s v="India "/>
    <x v="0"/>
    <x v="0"/>
    <s v="81 31 08"/>
    <s v="ian.smith@gmail.com"/>
    <x v="0"/>
    <n v="5325"/>
    <x v="51"/>
    <d v="2020-01-26T00:00:00"/>
    <n v="5"/>
    <n v="66989"/>
    <x v="0"/>
  </r>
  <r>
    <n v="14982"/>
    <s v="Paul"/>
    <s v="Paige"/>
    <s v="India "/>
    <x v="2"/>
    <x v="2"/>
    <s v="38 84 21"/>
    <s v="paul.paige@gmail.com"/>
    <x v="4"/>
    <n v="5353"/>
    <x v="22"/>
    <d v="2020-01-04T00:00:00"/>
    <n v="8"/>
    <n v="38980"/>
    <x v="0"/>
  </r>
  <r>
    <n v="22495"/>
    <s v="Victoria"/>
    <s v="Ogden"/>
    <s v="India "/>
    <x v="2"/>
    <x v="2"/>
    <s v="38 84 21"/>
    <s v="victoria.ogden@gmail.com"/>
    <x v="2"/>
    <n v="4809"/>
    <x v="22"/>
    <d v="2020-01-03T00:00:00"/>
    <n v="7"/>
    <n v="57999"/>
    <x v="0"/>
  </r>
  <r>
    <n v="24264"/>
    <s v="Dorothy"/>
    <s v="Bell"/>
    <s v="India "/>
    <x v="2"/>
    <x v="2"/>
    <s v="38 84 21"/>
    <s v="dorothy.bell@gmail.com"/>
    <x v="3"/>
    <n v="4643"/>
    <x v="52"/>
    <d v="2020-01-18T00:00:00"/>
    <n v="6"/>
    <n v="36990"/>
    <x v="0"/>
  </r>
  <r>
    <n v="12987"/>
    <s v="Leah"/>
    <s v="Bailey"/>
    <s v="India "/>
    <x v="2"/>
    <x v="2"/>
    <s v="38 84 21"/>
    <s v="leah.bailey@gmail.com"/>
    <x v="4"/>
    <n v="5196"/>
    <x v="35"/>
    <d v="2020-01-05T00:00:00"/>
    <n v="6"/>
    <n v="38980"/>
    <x v="0"/>
  </r>
  <r>
    <n v="16795"/>
    <s v="Anthony"/>
    <s v="Walsh"/>
    <s v="India "/>
    <x v="3"/>
    <x v="3"/>
    <s v="11 00 07"/>
    <s v="anthony.walsh@gmail.com"/>
    <x v="0"/>
    <n v="4687"/>
    <x v="35"/>
    <d v="2020-01-10T00:00:00"/>
    <n v="4"/>
    <n v="66989"/>
    <x v="0"/>
  </r>
  <r>
    <n v="17301"/>
    <s v="Lauren"/>
    <s v="Piper"/>
    <s v="India "/>
    <x v="0"/>
    <x v="0"/>
    <s v="81 31 08"/>
    <s v="lauren.piper@gmail.com"/>
    <x v="2"/>
    <n v="4785"/>
    <x v="35"/>
    <d v="2020-01-07T00:00:00"/>
    <n v="2"/>
    <n v="57999"/>
    <x v="0"/>
  </r>
  <r>
    <n v="13053"/>
    <s v="Stewart"/>
    <s v="Hunter"/>
    <s v="India "/>
    <x v="1"/>
    <x v="1"/>
    <s v="60 50 01"/>
    <s v="stewart.hunter@gmail.com"/>
    <x v="4"/>
    <n v="5294"/>
    <x v="53"/>
    <d v="2020-04-15T00:00:00"/>
    <n v="7"/>
    <n v="38980"/>
    <x v="0"/>
  </r>
  <r>
    <n v="13958"/>
    <s v="Emma"/>
    <s v="Lyman"/>
    <s v="India "/>
    <x v="0"/>
    <x v="0"/>
    <s v="81 31 08"/>
    <s v="emma.lyman@gmail.com"/>
    <x v="0"/>
    <n v="5410"/>
    <x v="54"/>
    <d v="2020-02-21T00:00:00"/>
    <n v="3"/>
    <n v="66989"/>
    <x v="0"/>
  </r>
  <r>
    <n v="15125"/>
    <s v="Eric"/>
    <s v="Lambert"/>
    <s v="India "/>
    <x v="2"/>
    <x v="2"/>
    <s v="38 84 21"/>
    <s v="eric.lambert@gmail.com"/>
    <x v="1"/>
    <n v="4537"/>
    <x v="55"/>
    <d v="2020-05-23T00:00:00"/>
    <n v="8"/>
    <n v="34690"/>
    <x v="0"/>
  </r>
  <r>
    <n v="23185"/>
    <s v="Fiona"/>
    <s v="Davies"/>
    <s v="India "/>
    <x v="2"/>
    <x v="2"/>
    <s v="38 84 21"/>
    <s v="fiona.davies@gmail.com"/>
    <x v="2"/>
    <n v="4944"/>
    <x v="54"/>
    <d v="2020-02-21T00:00:00"/>
    <n v="7"/>
    <n v="57999"/>
    <x v="0"/>
  </r>
  <r>
    <n v="24572"/>
    <s v="James"/>
    <s v="Burgess"/>
    <s v="India "/>
    <x v="3"/>
    <x v="3"/>
    <s v="11 00 07"/>
    <s v="james.burgess@gmail.com"/>
    <x v="3"/>
    <n v="4644"/>
    <x v="55"/>
    <d v="2020-05-22T00:00:00"/>
    <n v="9"/>
    <n v="36990"/>
    <x v="0"/>
  </r>
  <r>
    <n v="24817"/>
    <s v="Virginia"/>
    <s v="McGrath"/>
    <s v="India "/>
    <x v="0"/>
    <x v="0"/>
    <s v="81 31 08"/>
    <s v="virginia.mcgrath@gmail.com"/>
    <x v="4"/>
    <n v="5076"/>
    <x v="55"/>
    <d v="2020-05-23T00:00:00"/>
    <n v="5"/>
    <n v="38980"/>
    <x v="0"/>
  </r>
  <r>
    <n v="15605"/>
    <s v="Madeleine"/>
    <s v="Duncan"/>
    <s v="India "/>
    <x v="1"/>
    <x v="1"/>
    <s v="60 50 01"/>
    <s v="madeleine.duncan@gmail.com"/>
    <x v="0"/>
    <n v="4656"/>
    <x v="6"/>
    <d v="2020-02-13T00:00:00"/>
    <n v="6"/>
    <n v="66989"/>
    <x v="0"/>
  </r>
  <r>
    <n v="22892"/>
    <s v="Leah"/>
    <s v="Paige"/>
    <s v="India "/>
    <x v="0"/>
    <x v="0"/>
    <s v="81 31 08"/>
    <s v="leah.paige@gmail.com"/>
    <x v="2"/>
    <n v="5451"/>
    <x v="6"/>
    <d v="2020-02-15T00:00:00"/>
    <n v="9"/>
    <n v="57999"/>
    <x v="0"/>
  </r>
  <r>
    <n v="18738"/>
    <s v="Paul"/>
    <s v="MacLeod"/>
    <s v="India "/>
    <x v="2"/>
    <x v="2"/>
    <s v="38 84 21"/>
    <s v="paul.macleod@gmail.com"/>
    <x v="4"/>
    <n v="5065"/>
    <x v="37"/>
    <d v="2020-04-11T00:00:00"/>
    <n v="5"/>
    <n v="38980"/>
    <x v="0"/>
  </r>
  <r>
    <n v="15892"/>
    <s v="Jonathan"/>
    <s v="Sutherland"/>
    <s v="India "/>
    <x v="2"/>
    <x v="2"/>
    <s v="38 84 21"/>
    <s v="jonathan.sutherland@gmail.com"/>
    <x v="0"/>
    <n v="5332"/>
    <x v="37"/>
    <d v="2020-04-09T00:00:00"/>
    <n v="3"/>
    <n v="66989"/>
    <x v="0"/>
  </r>
  <r>
    <n v="19747"/>
    <s v="Kevin"/>
    <s v="Murray"/>
    <s v="India "/>
    <x v="2"/>
    <x v="2"/>
    <s v="38 84 21"/>
    <s v="kevin.murray@gmail.com"/>
    <x v="1"/>
    <n v="4925"/>
    <x v="37"/>
    <d v="2020-04-10T00:00:00"/>
    <n v="1"/>
    <n v="34690"/>
    <x v="0"/>
  </r>
  <r>
    <n v="23731"/>
    <s v="Hannah"/>
    <s v="Payne"/>
    <s v="India "/>
    <x v="2"/>
    <x v="2"/>
    <s v="38 84 21"/>
    <s v="hannah.payne@gmail.com"/>
    <x v="3"/>
    <n v="5081"/>
    <x v="35"/>
    <d v="2020-01-05T00:00:00"/>
    <n v="2"/>
    <n v="36990"/>
    <x v="0"/>
  </r>
  <r>
    <n v="23711"/>
    <s v="Jason"/>
    <s v="Blake"/>
    <s v="India "/>
    <x v="3"/>
    <x v="3"/>
    <s v="11 00 07"/>
    <s v="jason.blake@gmail.com"/>
    <x v="0"/>
    <n v="5135"/>
    <x v="25"/>
    <d v="2020-04-01T00:00:00"/>
    <n v="5"/>
    <n v="66989"/>
    <x v="0"/>
  </r>
  <r>
    <n v="14774"/>
    <s v="Matt"/>
    <s v="Walker"/>
    <s v="India "/>
    <x v="0"/>
    <x v="0"/>
    <s v="81 31 08"/>
    <s v="matt.walker@gmail.com"/>
    <x v="4"/>
    <n v="5180"/>
    <x v="56"/>
    <d v="2020-01-11T00:00:00"/>
    <n v="5"/>
    <n v="38980"/>
    <x v="0"/>
  </r>
  <r>
    <n v="24726"/>
    <s v="Ruth"/>
    <s v="Gill"/>
    <s v="India "/>
    <x v="1"/>
    <x v="1"/>
    <s v="60 50 01"/>
    <s v="ruth.gill@gmail.com"/>
    <x v="2"/>
    <n v="5079"/>
    <x v="25"/>
    <d v="2020-04-01T00:00:00"/>
    <n v="3"/>
    <n v="57999"/>
    <x v="0"/>
  </r>
  <r>
    <n v="14797"/>
    <s v="Thomas"/>
    <s v="Fisher"/>
    <s v="India "/>
    <x v="0"/>
    <x v="0"/>
    <s v="81 31 08"/>
    <s v="thomas.fisher@gmail.com"/>
    <x v="3"/>
    <n v="4788"/>
    <x v="57"/>
    <d v="2020-04-04T00:00:00"/>
    <n v="10"/>
    <n v="36990"/>
    <x v="0"/>
  </r>
  <r>
    <n v="14086"/>
    <s v="Diane"/>
    <s v="Forsyth"/>
    <s v="India "/>
    <x v="2"/>
    <x v="2"/>
    <s v="38 84 21"/>
    <s v="diane.forsyth@gmail.com"/>
    <x v="4"/>
    <n v="5362"/>
    <x v="57"/>
    <d v="2020-04-04T00:00:00"/>
    <n v="8"/>
    <n v="38980"/>
    <x v="0"/>
  </r>
  <r>
    <n v="25040"/>
    <s v="Audrey"/>
    <s v="MacLeod"/>
    <s v="India "/>
    <x v="2"/>
    <x v="2"/>
    <s v="38 84 21"/>
    <s v="audrey.macleod@gmail.com"/>
    <x v="0"/>
    <n v="4660"/>
    <x v="58"/>
    <d v="2020-04-28T00:00:00"/>
    <n v="9"/>
    <n v="66989"/>
    <x v="0"/>
  </r>
  <r>
    <n v="20122"/>
    <s v="Edward"/>
    <s v="Mills"/>
    <s v="India "/>
    <x v="2"/>
    <x v="2"/>
    <s v="38 84 21"/>
    <s v="edward.mills@gmail.com"/>
    <x v="2"/>
    <n v="5137"/>
    <x v="59"/>
    <d v="2020-01-18T00:00:00"/>
    <n v="1"/>
    <n v="57999"/>
    <x v="0"/>
  </r>
  <r>
    <n v="24441"/>
    <s v="Warren"/>
    <s v="Dowd"/>
    <s v="India "/>
    <x v="3"/>
    <x v="3"/>
    <s v="11 00 07"/>
    <s v="warren.dowd@gmail.com"/>
    <x v="4"/>
    <n v="4851"/>
    <x v="60"/>
    <d v="2020-01-21T00:00:00"/>
    <n v="8"/>
    <n v="38980"/>
    <x v="0"/>
  </r>
  <r>
    <n v="14159"/>
    <s v="Alan"/>
    <s v="Vance"/>
    <s v="India "/>
    <x v="2"/>
    <x v="2"/>
    <s v="38 84 21"/>
    <s v="alan.vance@gmail.com"/>
    <x v="0"/>
    <n v="5119"/>
    <x v="42"/>
    <d v="2020-06-02T00:00:00"/>
    <n v="10"/>
    <n v="66989"/>
    <x v="0"/>
  </r>
  <r>
    <n v="16363"/>
    <s v="Pippa"/>
    <s v="Wright"/>
    <s v="India "/>
    <x v="2"/>
    <x v="2"/>
    <s v="38 84 21"/>
    <s v="pippa.wright@gmail.com"/>
    <x v="1"/>
    <n v="4763"/>
    <x v="42"/>
    <d v="2020-06-02T00:00:00"/>
    <n v="1"/>
    <n v="34690"/>
    <x v="0"/>
  </r>
  <r>
    <n v="19642"/>
    <s v="Carl"/>
    <s v="Brown"/>
    <s v="India "/>
    <x v="3"/>
    <x v="3"/>
    <s v="11 00 07"/>
    <s v="carl.brown@gmail.com"/>
    <x v="0"/>
    <n v="4738"/>
    <x v="3"/>
    <d v="2020-05-13T00:00:00"/>
    <n v="9"/>
    <n v="66989"/>
    <x v="0"/>
  </r>
  <r>
    <n v="16043"/>
    <s v="Gordon"/>
    <s v="Ross"/>
    <s v="India "/>
    <x v="3"/>
    <x v="3"/>
    <s v="11 00 07"/>
    <s v="gordon.ross@gmail.com"/>
    <x v="1"/>
    <n v="4832"/>
    <x v="4"/>
    <d v="2020-04-09T00:00:00"/>
    <n v="10"/>
    <n v="34690"/>
    <x v="0"/>
  </r>
  <r>
    <n v="22469"/>
    <s v="Sarah"/>
    <s v="Lee"/>
    <s v="India "/>
    <x v="0"/>
    <x v="0"/>
    <s v="81 31 08"/>
    <s v="sarah.lee@gmail.com"/>
    <x v="2"/>
    <n v="4881"/>
    <x v="5"/>
    <d v="2020-05-28T00:00:00"/>
    <n v="7"/>
    <n v="57999"/>
    <x v="0"/>
  </r>
  <r>
    <n v="16888"/>
    <s v="Fiona"/>
    <s v="Piper"/>
    <s v="India "/>
    <x v="1"/>
    <x v="1"/>
    <s v="60 50 01"/>
    <s v="fiona.piper@gmail.com"/>
    <x v="3"/>
    <n v="5119"/>
    <x v="6"/>
    <d v="2020-02-15T00:00:00"/>
    <n v="9"/>
    <n v="36990"/>
    <x v="0"/>
  </r>
  <r>
    <n v="14965"/>
    <s v="Stephanie"/>
    <s v="Thomson"/>
    <s v="India "/>
    <x v="0"/>
    <x v="0"/>
    <s v="81 31 08"/>
    <s v="stephanie.thomson@gmail.com"/>
    <x v="4"/>
    <n v="5322"/>
    <x v="6"/>
    <d v="2020-02-14T00:00:00"/>
    <n v="3"/>
    <n v="38980"/>
    <x v="0"/>
  </r>
  <r>
    <n v="12601"/>
    <s v="Lisa"/>
    <s v="Gibson"/>
    <s v="India "/>
    <x v="2"/>
    <x v="2"/>
    <s v="38 84 21"/>
    <s v="lisa.gibson@gmail.com"/>
    <x v="0"/>
    <n v="4630"/>
    <x v="7"/>
    <d v="2020-05-16T00:00:00"/>
    <n v="7"/>
    <n v="66989"/>
    <x v="0"/>
  </r>
  <r>
    <n v="17451"/>
    <s v="Virginia"/>
    <s v="Mathis"/>
    <s v="India "/>
    <x v="2"/>
    <x v="2"/>
    <s v="38 84 21"/>
    <s v="virginia.mathis@gmail.com"/>
    <x v="2"/>
    <n v="4716"/>
    <x v="8"/>
    <d v="2020-05-23T00:00:00"/>
    <n v="2"/>
    <n v="57999"/>
    <x v="0"/>
  </r>
  <r>
    <n v="23415"/>
    <s v="Jason"/>
    <s v="Simpson"/>
    <s v="India "/>
    <x v="3"/>
    <x v="3"/>
    <s v="11 00 07"/>
    <s v="jason.simpson@gmail.com"/>
    <x v="4"/>
    <n v="4913"/>
    <x v="7"/>
    <d v="2020-05-16T00:00:00"/>
    <n v="7"/>
    <n v="38980"/>
    <x v="0"/>
  </r>
  <r>
    <n v="20367"/>
    <s v="Maria"/>
    <s v="Reid"/>
    <s v="India "/>
    <x v="0"/>
    <x v="0"/>
    <s v="81 31 08"/>
    <s v="maria.reid@gmail.com"/>
    <x v="0"/>
    <n v="4735"/>
    <x v="8"/>
    <d v="2020-05-22T00:00:00"/>
    <n v="10"/>
    <n v="66989"/>
    <x v="0"/>
  </r>
  <r>
    <n v="23682"/>
    <s v="Stephanie"/>
    <s v="Kelly"/>
    <s v="India "/>
    <x v="1"/>
    <x v="1"/>
    <s v="60 50 01"/>
    <s v="stephanie.kelly@gmail.com"/>
    <x v="1"/>
    <n v="5344"/>
    <x v="8"/>
    <d v="2020-05-23T00:00:00"/>
    <n v="4"/>
    <n v="34690"/>
    <x v="0"/>
  </r>
  <r>
    <n v="14105"/>
    <s v="Benjamin"/>
    <s v="Graham"/>
    <s v="India "/>
    <x v="0"/>
    <x v="0"/>
    <s v="81 31 08"/>
    <s v="benjamin.graham@gmail.com"/>
    <x v="3"/>
    <n v="5394"/>
    <x v="9"/>
    <d v="2020-01-29T00:00:00"/>
    <n v="7"/>
    <n v="36990"/>
    <x v="0"/>
  </r>
  <r>
    <n v="23586"/>
    <s v="Jake"/>
    <s v="Dowd"/>
    <s v="India "/>
    <x v="2"/>
    <x v="2"/>
    <s v="38 84 21"/>
    <s v="jake.dowd@gmail.com"/>
    <x v="0"/>
    <n v="5061"/>
    <x v="9"/>
    <d v="2020-01-30T00:00:00"/>
    <n v="4"/>
    <n v="66989"/>
    <x v="0"/>
  </r>
  <r>
    <n v="13875"/>
    <s v="Edward"/>
    <s v="Parsons"/>
    <s v="India "/>
    <x v="2"/>
    <x v="2"/>
    <s v="38 84 21"/>
    <s v="edward.parsons@gmail.com"/>
    <x v="4"/>
    <n v="4962"/>
    <x v="10"/>
    <d v="2020-05-04T00:00:00"/>
    <n v="4"/>
    <n v="38980"/>
    <x v="0"/>
  </r>
  <r>
    <n v="18936"/>
    <s v="Alexander"/>
    <s v="Buckland"/>
    <s v="India "/>
    <x v="3"/>
    <x v="3"/>
    <s v="11 00 07"/>
    <s v="alexander.buckland@gmail.com"/>
    <x v="3"/>
    <n v="4694"/>
    <x v="11"/>
    <d v="2020-02-23T00:00:00"/>
    <n v="6"/>
    <n v="36990"/>
    <x v="0"/>
  </r>
  <r>
    <n v="18450"/>
    <s v="Rose"/>
    <s v="Walker"/>
    <s v="India "/>
    <x v="0"/>
    <x v="0"/>
    <s v="81 31 08"/>
    <s v="rose.walker@gmail.com"/>
    <x v="4"/>
    <n v="5232"/>
    <x v="12"/>
    <d v="2020-03-28T00:00:00"/>
    <n v="6"/>
    <n v="38980"/>
    <x v="0"/>
  </r>
  <r>
    <n v="16944"/>
    <s v="Nicholas"/>
    <s v="Parsons"/>
    <s v="India "/>
    <x v="3"/>
    <x v="3"/>
    <s v="11 00 07"/>
    <s v="nicholas.parsons@gmail.com"/>
    <x v="0"/>
    <n v="4948"/>
    <x v="13"/>
    <d v="2020-01-22T00:00:00"/>
    <n v="8"/>
    <n v="66989"/>
    <x v="0"/>
  </r>
  <r>
    <n v="22630"/>
    <s v="David"/>
    <s v="Ince"/>
    <s v="India "/>
    <x v="0"/>
    <x v="0"/>
    <s v="81 31 08"/>
    <s v="david.ince@gmail.com"/>
    <x v="2"/>
    <n v="4889"/>
    <x v="14"/>
    <d v="2020-03-19T00:00:00"/>
    <n v="9"/>
    <n v="57999"/>
    <x v="0"/>
  </r>
  <r>
    <n v="16539"/>
    <s v="Ella"/>
    <s v="Bell"/>
    <s v="India "/>
    <x v="1"/>
    <x v="1"/>
    <s v="60 50 01"/>
    <s v="ella.bell@gmail.com"/>
    <x v="4"/>
    <n v="4834"/>
    <x v="15"/>
    <d v="2020-06-17T00:00:00"/>
    <n v="7"/>
    <n v="38980"/>
    <x v="0"/>
  </r>
  <r>
    <n v="18265"/>
    <s v="Sue"/>
    <s v="Metcalfe"/>
    <s v="India "/>
    <x v="0"/>
    <x v="0"/>
    <s v="81 31 08"/>
    <s v="sue.metcalfe@gmail.com"/>
    <x v="0"/>
    <n v="4564"/>
    <x v="15"/>
    <d v="2020-06-16T00:00:00"/>
    <n v="9"/>
    <n v="66989"/>
    <x v="0"/>
  </r>
  <r>
    <n v="19922"/>
    <s v="Frank"/>
    <s v="Marshall"/>
    <s v="India "/>
    <x v="2"/>
    <x v="2"/>
    <s v="38 84 21"/>
    <s v="frank.marshall@gmail.com"/>
    <x v="1"/>
    <n v="4557"/>
    <x v="16"/>
    <d v="2020-05-11T00:00:00"/>
    <n v="1"/>
    <n v="34690"/>
    <x v="0"/>
  </r>
  <r>
    <n v="15334"/>
    <s v="Max"/>
    <s v="Kerr"/>
    <s v="India "/>
    <x v="0"/>
    <x v="0"/>
    <s v="81 31 08"/>
    <s v="max.kerr@gmail.com"/>
    <x v="3"/>
    <n v="4648"/>
    <x v="32"/>
    <d v="2020-05-05T00:00:00"/>
    <n v="3"/>
    <n v="36990"/>
    <x v="0"/>
  </r>
  <r>
    <n v="23980"/>
    <s v="Maria"/>
    <s v="Buckland"/>
    <s v="India "/>
    <x v="1"/>
    <x v="1"/>
    <s v="60 50 01"/>
    <s v="maria.buckland@gmail.com"/>
    <x v="0"/>
    <n v="4960"/>
    <x v="32"/>
    <d v="2020-05-05T00:00:00"/>
    <n v="3"/>
    <n v="66989"/>
    <x v="0"/>
  </r>
  <r>
    <n v="20077"/>
    <s v="Karen"/>
    <s v="Fisher"/>
    <s v="India "/>
    <x v="0"/>
    <x v="0"/>
    <s v="81 31 08"/>
    <s v="karen.fisher@gmail.com"/>
    <x v="4"/>
    <n v="5446"/>
    <x v="32"/>
    <d v="2020-05-04T00:00:00"/>
    <n v="9"/>
    <n v="38980"/>
    <x v="0"/>
  </r>
  <r>
    <n v="12916"/>
    <s v="Ryan"/>
    <s v="Ellison"/>
    <s v="India "/>
    <x v="2"/>
    <x v="2"/>
    <s v="38 84 21"/>
    <s v="ryan.ellison@gmail.com"/>
    <x v="2"/>
    <n v="5339"/>
    <x v="33"/>
    <d v="2020-06-24T00:00:00"/>
    <n v="9"/>
    <n v="57999"/>
    <x v="0"/>
  </r>
  <r>
    <n v="15782"/>
    <s v="Victoria"/>
    <s v="Dowd"/>
    <s v="India "/>
    <x v="2"/>
    <x v="2"/>
    <s v="38 84 21"/>
    <s v="victoria.dowd@gmail.com"/>
    <x v="3"/>
    <n v="5263"/>
    <x v="34"/>
    <d v="2020-04-07T00:00:00"/>
    <n v="1"/>
    <n v="36990"/>
    <x v="0"/>
  </r>
  <r>
    <n v="21253"/>
    <s v="Sebastian"/>
    <s v="King"/>
    <s v="India "/>
    <x v="2"/>
    <x v="2"/>
    <s v="38 84 21"/>
    <s v="sebastian.king@gmail.com"/>
    <x v="4"/>
    <n v="4847"/>
    <x v="33"/>
    <d v="2020-06-24T00:00:00"/>
    <n v="5"/>
    <n v="38980"/>
    <x v="0"/>
  </r>
  <r>
    <n v="15881"/>
    <s v="Cameron"/>
    <s v="Davidson"/>
    <s v="India "/>
    <x v="2"/>
    <x v="2"/>
    <s v="38 84 21"/>
    <s v="cameron.davidson@gmail.com"/>
    <x v="0"/>
    <n v="5073"/>
    <x v="33"/>
    <d v="2020-06-23T00:00:00"/>
    <n v="10"/>
    <n v="66989"/>
    <x v="0"/>
  </r>
  <r>
    <n v="20504"/>
    <s v="Carol"/>
    <s v="Lambert"/>
    <s v="India "/>
    <x v="3"/>
    <x v="3"/>
    <s v="11 00 07"/>
    <s v="carol.lambert@gmail.com"/>
    <x v="2"/>
    <n v="4722"/>
    <x v="34"/>
    <d v="2020-04-07T00:00:00"/>
    <n v="3"/>
    <n v="57999"/>
    <x v="0"/>
  </r>
  <r>
    <n v="20463"/>
    <s v="Joanne"/>
    <s v="Lee"/>
    <s v="India "/>
    <x v="0"/>
    <x v="0"/>
    <s v="81 31 08"/>
    <s v="joanne.lee@gmail.com"/>
    <x v="4"/>
    <n v="4744"/>
    <x v="33"/>
    <d v="2020-06-23T00:00:00"/>
    <n v="2"/>
    <n v="38980"/>
    <x v="0"/>
  </r>
  <r>
    <n v="21459"/>
    <s v="Richard"/>
    <s v="Graham"/>
    <s v="India "/>
    <x v="1"/>
    <x v="1"/>
    <s v="60 50 01"/>
    <s v="richard.graham@gmail.com"/>
    <x v="0"/>
    <n v="4705"/>
    <x v="35"/>
    <d v="2020-01-04T00:00:00"/>
    <n v="4"/>
    <n v="66989"/>
    <x v="0"/>
  </r>
  <r>
    <n v="19844"/>
    <s v="Zoe"/>
    <s v="Hunter"/>
    <s v="India "/>
    <x v="0"/>
    <x v="0"/>
    <s v="81 31 08"/>
    <s v="zoe.hunter@gmail.com"/>
    <x v="1"/>
    <n v="4862"/>
    <x v="36"/>
    <d v="2020-04-06T00:00:00"/>
    <n v="1"/>
    <n v="34690"/>
    <x v="0"/>
  </r>
  <r>
    <n v="16528"/>
    <s v="Ava"/>
    <s v="Ellison"/>
    <s v="India "/>
    <x v="2"/>
    <x v="2"/>
    <s v="38 84 21"/>
    <s v="ava.ellison@gmail.com"/>
    <x v="2"/>
    <n v="5096"/>
    <x v="36"/>
    <d v="2020-04-06T00:00:00"/>
    <n v="7"/>
    <n v="57999"/>
    <x v="0"/>
  </r>
  <r>
    <n v="13960"/>
    <s v="Rebecca"/>
    <s v="Young"/>
    <s v="India "/>
    <x v="2"/>
    <x v="2"/>
    <s v="38 84 21"/>
    <s v="rebecca.young@gmail.com"/>
    <x v="3"/>
    <n v="5322"/>
    <x v="37"/>
    <d v="2020-04-11T00:00:00"/>
    <n v="2"/>
    <n v="36990"/>
    <x v="0"/>
  </r>
  <r>
    <n v="17227"/>
    <s v="Madeleine"/>
    <s v="Pullman"/>
    <s v="India "/>
    <x v="3"/>
    <x v="3"/>
    <s v="11 00 07"/>
    <s v="madeleine.pullman@gmail.com"/>
    <x v="4"/>
    <n v="5057"/>
    <x v="35"/>
    <d v="2020-01-04T00:00:00"/>
    <n v="4"/>
    <n v="38980"/>
    <x v="0"/>
  </r>
  <r>
    <n v="13040"/>
    <s v="Kimberly"/>
    <s v="James"/>
    <s v="India "/>
    <x v="0"/>
    <x v="0"/>
    <s v="81 31 08"/>
    <s v="kimberly.james@gmail.com"/>
    <x v="0"/>
    <n v="5398"/>
    <x v="36"/>
    <d v="2020-04-06T00:00:00"/>
    <n v="1"/>
    <n v="66989"/>
    <x v="0"/>
  </r>
  <r>
    <n v="23407"/>
    <s v="Ruth"/>
    <s v="Martin"/>
    <s v="India "/>
    <x v="1"/>
    <x v="1"/>
    <s v="60 50 01"/>
    <s v="ruth.martin@gmail.com"/>
    <x v="2"/>
    <n v="4714"/>
    <x v="36"/>
    <d v="2020-04-06T00:00:00"/>
    <n v="1"/>
    <n v="57999"/>
    <x v="0"/>
  </r>
  <r>
    <n v="25104"/>
    <s v="Grace"/>
    <s v="King"/>
    <s v="India "/>
    <x v="0"/>
    <x v="0"/>
    <s v="81 31 08"/>
    <s v="grace.king@gmail.com"/>
    <x v="4"/>
    <n v="5059"/>
    <x v="37"/>
    <d v="2020-04-11T00:00:00"/>
    <n v="2"/>
    <n v="38980"/>
    <x v="0"/>
  </r>
  <r>
    <n v="16366"/>
    <s v="Leah"/>
    <s v="Short"/>
    <s v="India "/>
    <x v="2"/>
    <x v="2"/>
    <s v="38 84 21"/>
    <s v="leah.short@gmail.com"/>
    <x v="0"/>
    <n v="5048"/>
    <x v="38"/>
    <d v="2020-01-13T00:00:00"/>
    <n v="6"/>
    <n v="66989"/>
    <x v="0"/>
  </r>
  <r>
    <n v="21908"/>
    <s v="Joan"/>
    <s v="Jones"/>
    <s v="India "/>
    <x v="2"/>
    <x v="2"/>
    <s v="38 84 21"/>
    <s v="joan.jones@gmail.com"/>
    <x v="1"/>
    <n v="4571"/>
    <x v="38"/>
    <d v="2020-01-14T00:00:00"/>
    <n v="9"/>
    <n v="34690"/>
    <x v="0"/>
  </r>
  <r>
    <n v="12973"/>
    <s v="Hannah"/>
    <s v="Vaughan"/>
    <s v="India "/>
    <x v="2"/>
    <x v="2"/>
    <s v="38 84 21"/>
    <s v="hannah.vaughan@gmail.com"/>
    <x v="3"/>
    <n v="4851"/>
    <x v="37"/>
    <d v="2020-04-10T00:00:00"/>
    <n v="2"/>
    <n v="36990"/>
    <x v="0"/>
  </r>
  <r>
    <n v="18981"/>
    <s v="Max"/>
    <s v="Morrison"/>
    <s v="India "/>
    <x v="3"/>
    <x v="3"/>
    <s v="11 00 07"/>
    <s v="max.morrison@gmail.com"/>
    <x v="0"/>
    <n v="4841"/>
    <x v="39"/>
    <d v="2020-01-28T00:00:00"/>
    <n v="9"/>
    <n v="66989"/>
    <x v="0"/>
  </r>
  <r>
    <n v="23905"/>
    <s v="Steven"/>
    <s v="White"/>
    <s v="India "/>
    <x v="2"/>
    <x v="2"/>
    <s v="38 84 21"/>
    <s v="steven.white@gmail.com"/>
    <x v="4"/>
    <n v="4632"/>
    <x v="40"/>
    <d v="2020-05-26T00:00:00"/>
    <n v="2"/>
    <n v="38980"/>
    <x v="0"/>
  </r>
  <r>
    <n v="25057"/>
    <s v="Richard"/>
    <s v="MacDonald"/>
    <s v="India "/>
    <x v="2"/>
    <x v="2"/>
    <s v="38 84 21"/>
    <s v="richard.macdonald@gmail.com"/>
    <x v="2"/>
    <n v="4786"/>
    <x v="41"/>
    <d v="2020-05-17T00:00:00"/>
    <n v="4"/>
    <n v="57999"/>
    <x v="0"/>
  </r>
  <r>
    <n v="24679"/>
    <s v="Dominic"/>
    <s v="Mitchell"/>
    <s v="India "/>
    <x v="3"/>
    <x v="3"/>
    <s v="11 00 07"/>
    <s v="dominic.mitchell@gmail.com"/>
    <x v="3"/>
    <n v="5159"/>
    <x v="41"/>
    <d v="2020-05-17T00:00:00"/>
    <n v="8"/>
    <n v="36990"/>
    <x v="0"/>
  </r>
  <r>
    <n v="17647"/>
    <s v="Heather"/>
    <s v="Sanderson"/>
    <s v="India "/>
    <x v="3"/>
    <x v="3"/>
    <s v="11 00 07"/>
    <s v="heather.sanderson@gmail.com"/>
    <x v="4"/>
    <n v="5429"/>
    <x v="42"/>
    <d v="2020-06-03T00:00:00"/>
    <n v="3"/>
    <n v="38980"/>
    <x v="0"/>
  </r>
  <r>
    <n v="16993"/>
    <s v="Alison"/>
    <s v="Mackenzie"/>
    <s v="India "/>
    <x v="0"/>
    <x v="0"/>
    <s v="81 31 08"/>
    <s v="alison.mackenzie@gmail.com"/>
    <x v="0"/>
    <n v="5210"/>
    <x v="42"/>
    <d v="2020-06-03T00:00:00"/>
    <n v="8"/>
    <n v="66989"/>
    <x v="0"/>
  </r>
  <r>
    <n v="23217"/>
    <s v="Boris"/>
    <s v="Chapman"/>
    <s v="India "/>
    <x v="1"/>
    <x v="1"/>
    <s v="60 50 01"/>
    <s v="boris.chapman@gmail.com"/>
    <x v="2"/>
    <n v="5526"/>
    <x v="43"/>
    <d v="2020-01-17T00:00:00"/>
    <n v="10"/>
    <n v="57999"/>
    <x v="0"/>
  </r>
  <r>
    <n v="14058"/>
    <s v="Joseph"/>
    <s v="Manning"/>
    <s v="India "/>
    <x v="0"/>
    <x v="0"/>
    <s v="81 31 08"/>
    <s v="joseph.manning@gmail.com"/>
    <x v="4"/>
    <n v="5173"/>
    <x v="44"/>
    <d v="2020-03-16T00:00:00"/>
    <n v="1"/>
    <n v="38980"/>
    <x v="0"/>
  </r>
  <r>
    <n v="15001"/>
    <s v="Lily"/>
    <s v="Paterson"/>
    <s v="India "/>
    <x v="2"/>
    <x v="2"/>
    <s v="38 84 21"/>
    <s v="lily.paterson@gmail.com"/>
    <x v="0"/>
    <n v="4775"/>
    <x v="14"/>
    <d v="2020-03-13T00:00:00"/>
    <n v="6"/>
    <n v="66989"/>
    <x v="0"/>
  </r>
  <r>
    <n v="23900"/>
    <s v="Bella"/>
    <s v="Wilkins"/>
    <s v="India "/>
    <x v="2"/>
    <x v="2"/>
    <s v="38 84 21"/>
    <s v="bella.wilkins@gmail.com"/>
    <x v="1"/>
    <n v="4905"/>
    <x v="45"/>
    <d v="2020-04-24T00:00:00"/>
    <n v="4"/>
    <n v="34690"/>
    <x v="0"/>
  </r>
  <r>
    <n v="21407"/>
    <s v="Christopher"/>
    <s v="Oliver"/>
    <s v="India "/>
    <x v="3"/>
    <x v="3"/>
    <s v="11 00 07"/>
    <s v="christopher.oliver@gmail.com"/>
    <x v="0"/>
    <n v="5115"/>
    <x v="46"/>
    <d v="2020-01-23T00:00:00"/>
    <n v="5"/>
    <n v="66989"/>
    <x v="0"/>
  </r>
  <r>
    <n v="25061"/>
    <s v="Gordon"/>
    <s v="Gill"/>
    <s v="India "/>
    <x v="0"/>
    <x v="0"/>
    <s v="81 31 08"/>
    <s v="gordon.gill@gmail.com"/>
    <x v="1"/>
    <n v="5238"/>
    <x v="18"/>
    <d v="2020-04-22T00:00:00"/>
    <n v="7"/>
    <n v="34690"/>
    <x v="0"/>
  </r>
  <r>
    <n v="23778"/>
    <s v="Ella"/>
    <s v="Martin"/>
    <s v="India "/>
    <x v="2"/>
    <x v="2"/>
    <s v="38 84 21"/>
    <s v="ella.martin@gmail.com"/>
    <x v="2"/>
    <n v="5284"/>
    <x v="43"/>
    <d v="2020-01-16T00:00:00"/>
    <n v="5"/>
    <n v="57999"/>
    <x v="0"/>
  </r>
  <r>
    <n v="14760"/>
    <s v="Kylie"/>
    <s v="Abraham"/>
    <s v="India "/>
    <x v="3"/>
    <x v="3"/>
    <s v="11 00 07"/>
    <s v="kylie.abraham@gmail.com"/>
    <x v="3"/>
    <n v="5211"/>
    <x v="47"/>
    <d v="2020-04-26T00:00:00"/>
    <n v="2"/>
    <n v="36990"/>
    <x v="0"/>
  </r>
  <r>
    <n v="12613"/>
    <s v="Charles"/>
    <s v="Bell"/>
    <s v="India "/>
    <x v="0"/>
    <x v="0"/>
    <s v="81 31 08"/>
    <s v="charles.bell@gmail.com"/>
    <x v="4"/>
    <n v="4931"/>
    <x v="48"/>
    <d v="2020-04-01T00:00:00"/>
    <n v="9"/>
    <n v="38980"/>
    <x v="0"/>
  </r>
  <r>
    <n v="22557"/>
    <s v="Cameron"/>
    <s v="Bailey"/>
    <s v="India "/>
    <x v="3"/>
    <x v="3"/>
    <s v="11 00 07"/>
    <s v="cameron.bailey@gmail.com"/>
    <x v="0"/>
    <n v="5329"/>
    <x v="49"/>
    <d v="2020-06-22T00:00:00"/>
    <n v="1"/>
    <n v="66989"/>
    <x v="0"/>
  </r>
  <r>
    <n v="13183"/>
    <s v="Stephanie"/>
    <s v="Coleman"/>
    <s v="India "/>
    <x v="0"/>
    <x v="0"/>
    <s v="81 31 08"/>
    <s v="stephanie.coleman@gmail.com"/>
    <x v="2"/>
    <n v="5374"/>
    <x v="50"/>
    <d v="2020-05-15T00:00:00"/>
    <n v="1"/>
    <n v="57999"/>
    <x v="0"/>
  </r>
  <r>
    <n v="14866"/>
    <s v="Jack"/>
    <s v="Ogden"/>
    <s v="India "/>
    <x v="1"/>
    <x v="1"/>
    <s v="60 50 01"/>
    <s v="jack.ogden@gmail.com"/>
    <x v="4"/>
    <n v="5020"/>
    <x v="51"/>
    <d v="2020-01-26T00:00:00"/>
    <n v="4"/>
    <n v="38980"/>
    <x v="0"/>
  </r>
  <r>
    <n v="13800"/>
    <s v="Sam"/>
    <s v="Wilson"/>
    <s v="India "/>
    <x v="0"/>
    <x v="0"/>
    <s v="81 31 08"/>
    <s v="sam.wilson@gmail.com"/>
    <x v="0"/>
    <n v="4693"/>
    <x v="22"/>
    <d v="2020-01-04T00:00:00"/>
    <n v="6"/>
    <n v="66989"/>
    <x v="0"/>
  </r>
  <r>
    <n v="14617"/>
    <s v="Sophie"/>
    <s v="Russell"/>
    <s v="India "/>
    <x v="2"/>
    <x v="2"/>
    <s v="38 84 21"/>
    <s v="sophie.russell@gmail.com"/>
    <x v="1"/>
    <n v="4873"/>
    <x v="22"/>
    <d v="2020-01-03T00:00:00"/>
    <n v="1"/>
    <n v="34690"/>
    <x v="0"/>
  </r>
  <r>
    <n v="18023"/>
    <s v="Virginia"/>
    <s v="Powell"/>
    <s v="India "/>
    <x v="0"/>
    <x v="0"/>
    <s v="81 31 08"/>
    <s v="virginia.powell@gmail.com"/>
    <x v="3"/>
    <n v="5023"/>
    <x v="52"/>
    <d v="2020-01-18T00:00:00"/>
    <n v="8"/>
    <n v="36990"/>
    <x v="0"/>
  </r>
  <r>
    <n v="20629"/>
    <s v="Piers"/>
    <s v="Sharp"/>
    <s v="India "/>
    <x v="1"/>
    <x v="1"/>
    <s v="60 50 01"/>
    <s v="piers.sharp@gmail.com"/>
    <x v="0"/>
    <n v="4819"/>
    <x v="35"/>
    <d v="2020-01-05T00:00:00"/>
    <n v="5"/>
    <n v="66989"/>
    <x v="0"/>
  </r>
  <r>
    <n v="13154"/>
    <s v="Matt"/>
    <s v="Stewart"/>
    <s v="India "/>
    <x v="0"/>
    <x v="0"/>
    <s v="81 31 08"/>
    <s v="matt.stewart@gmail.com"/>
    <x v="4"/>
    <n v="5410"/>
    <x v="35"/>
    <d v="2020-01-10T00:00:00"/>
    <n v="4"/>
    <n v="38980"/>
    <x v="0"/>
  </r>
  <r>
    <n v="25682"/>
    <s v="Adrian"/>
    <s v="Piper"/>
    <s v="India "/>
    <x v="2"/>
    <x v="2"/>
    <s v="38 84 21"/>
    <s v="adrian.piper@gmail.com"/>
    <x v="2"/>
    <n v="4602"/>
    <x v="35"/>
    <d v="2020-01-07T00:00:00"/>
    <n v="8"/>
    <n v="57999"/>
    <x v="0"/>
  </r>
  <r>
    <n v="18951"/>
    <s v="Victor"/>
    <s v="Davies"/>
    <s v="India "/>
    <x v="2"/>
    <x v="2"/>
    <s v="38 84 21"/>
    <s v="victor.davies@gmail.com"/>
    <x v="3"/>
    <n v="4876"/>
    <x v="53"/>
    <d v="2020-04-15T00:00:00"/>
    <n v="7"/>
    <n v="36990"/>
    <x v="0"/>
  </r>
  <r>
    <n v="15300"/>
    <s v="Sam"/>
    <s v="Fisher"/>
    <s v="India "/>
    <x v="2"/>
    <x v="2"/>
    <s v="38 84 21"/>
    <s v="sam.fisher@gmail.com"/>
    <x v="4"/>
    <n v="4730"/>
    <x v="54"/>
    <d v="2020-02-21T00:00:00"/>
    <n v="9"/>
    <n v="38980"/>
    <x v="0"/>
  </r>
  <r>
    <n v="20209"/>
    <s v="Jan"/>
    <s v="Tucker"/>
    <s v="India "/>
    <x v="2"/>
    <x v="2"/>
    <s v="38 84 21"/>
    <s v="jan.tucker@gmail.com"/>
    <x v="0"/>
    <n v="5393"/>
    <x v="55"/>
    <d v="2020-05-23T00:00:00"/>
    <n v="9"/>
    <n v="66989"/>
    <x v="0"/>
  </r>
  <r>
    <n v="24395"/>
    <s v="Alexander"/>
    <s v="Nash"/>
    <s v="India "/>
    <x v="3"/>
    <x v="3"/>
    <s v="11 00 07"/>
    <s v="alexander.nash@gmail.com"/>
    <x v="2"/>
    <n v="4726"/>
    <x v="54"/>
    <d v="2020-02-21T00:00:00"/>
    <n v="5"/>
    <n v="57999"/>
    <x v="0"/>
  </r>
  <r>
    <n v="23208"/>
    <s v="Bella"/>
    <s v="Henderson"/>
    <s v="India "/>
    <x v="0"/>
    <x v="0"/>
    <s v="81 31 08"/>
    <s v="bella.henderson@gmail.com"/>
    <x v="4"/>
    <n v="4913"/>
    <x v="55"/>
    <d v="2020-05-22T00:00:00"/>
    <n v="7"/>
    <n v="38980"/>
    <x v="0"/>
  </r>
  <r>
    <n v="19965"/>
    <s v="Amanda"/>
    <s v="Marshall"/>
    <s v="India "/>
    <x v="1"/>
    <x v="1"/>
    <s v="60 50 01"/>
    <s v="amanda.marshall@gmail.com"/>
    <x v="0"/>
    <n v="4782"/>
    <x v="55"/>
    <d v="2020-05-23T00:00:00"/>
    <n v="5"/>
    <n v="66989"/>
    <x v="0"/>
  </r>
  <r>
    <n v="24017"/>
    <s v="Joshua"/>
    <s v="Wilson"/>
    <s v="India "/>
    <x v="0"/>
    <x v="0"/>
    <s v="81 31 08"/>
    <s v="joshua.wilson@gmail.com"/>
    <x v="1"/>
    <n v="5271"/>
    <x v="6"/>
    <d v="2020-02-13T00:00:00"/>
    <n v="10"/>
    <n v="34690"/>
    <x v="0"/>
  </r>
  <r>
    <n v="25354"/>
    <s v="Peter"/>
    <s v="Scott"/>
    <s v="India "/>
    <x v="2"/>
    <x v="2"/>
    <s v="38 84 21"/>
    <s v="peter.scott@gmail.com"/>
    <x v="2"/>
    <n v="4668"/>
    <x v="6"/>
    <d v="2020-02-15T00:00:00"/>
    <n v="1"/>
    <n v="57999"/>
    <x v="0"/>
  </r>
  <r>
    <n v="15902"/>
    <s v="Carol"/>
    <s v="Arnold"/>
    <s v="India "/>
    <x v="2"/>
    <x v="2"/>
    <s v="38 84 21"/>
    <s v="carol.arnold@gmail.com"/>
    <x v="3"/>
    <n v="4577"/>
    <x v="37"/>
    <d v="2020-04-11T00:00:00"/>
    <n v="4"/>
    <n v="36990"/>
    <x v="0"/>
  </r>
  <r>
    <n v="23474"/>
    <s v="Lisa"/>
    <s v="MacDonald"/>
    <s v="India "/>
    <x v="3"/>
    <x v="3"/>
    <s v="11 00 07"/>
    <s v="lisa.macdonald@gmail.com"/>
    <x v="4"/>
    <n v="4923"/>
    <x v="37"/>
    <d v="2020-04-09T00:00:00"/>
    <n v="2"/>
    <n v="38980"/>
    <x v="0"/>
  </r>
  <r>
    <n v="22204"/>
    <s v="Dorothy"/>
    <s v="McLean"/>
    <s v="India "/>
    <x v="0"/>
    <x v="0"/>
    <s v="81 31 08"/>
    <s v="dorothy.mclean@gmail.com"/>
    <x v="0"/>
    <n v="4651"/>
    <x v="37"/>
    <d v="2020-04-10T00:00:00"/>
    <n v="8"/>
    <n v="66989"/>
    <x v="0"/>
  </r>
  <r>
    <n v="20606"/>
    <s v="Dan"/>
    <s v="Newman"/>
    <s v="India "/>
    <x v="1"/>
    <x v="1"/>
    <s v="60 50 01"/>
    <s v="dan.newman@gmail.com"/>
    <x v="2"/>
    <n v="5260"/>
    <x v="35"/>
    <d v="2020-01-05T00:00:00"/>
    <n v="6"/>
    <n v="57999"/>
    <x v="0"/>
  </r>
  <r>
    <n v="15840"/>
    <s v="Ian"/>
    <s v="McLean"/>
    <s v="India "/>
    <x v="0"/>
    <x v="0"/>
    <s v="81 31 08"/>
    <s v="ian.mclean@gmail.com"/>
    <x v="3"/>
    <n v="4719"/>
    <x v="25"/>
    <d v="2020-04-01T00:00:00"/>
    <n v="3"/>
    <n v="36990"/>
    <x v="0"/>
  </r>
  <r>
    <n v="23814"/>
    <s v="Carl"/>
    <s v="Slater"/>
    <s v="India "/>
    <x v="2"/>
    <x v="2"/>
    <s v="38 84 21"/>
    <s v="carl.slater@gmail.com"/>
    <x v="4"/>
    <n v="5143"/>
    <x v="56"/>
    <d v="2020-01-11T00:00:00"/>
    <n v="2"/>
    <n v="38980"/>
    <x v="0"/>
  </r>
  <r>
    <n v="21507"/>
    <s v="Hannah"/>
    <s v="Scott"/>
    <s v="India "/>
    <x v="2"/>
    <x v="2"/>
    <s v="38 84 21"/>
    <s v="hannah.scott@gmail.com"/>
    <x v="0"/>
    <n v="5198"/>
    <x v="25"/>
    <d v="2020-04-01T00:00:00"/>
    <n v="10"/>
    <n v="66989"/>
    <x v="0"/>
  </r>
  <r>
    <n v="23125"/>
    <s v="Deirdre"/>
    <s v="Henderson"/>
    <s v="India "/>
    <x v="2"/>
    <x v="2"/>
    <s v="38 84 21"/>
    <s v="deirdre.henderson@gmail.com"/>
    <x v="2"/>
    <n v="4947"/>
    <x v="57"/>
    <d v="2020-04-04T00:00:00"/>
    <n v="7"/>
    <n v="57999"/>
    <x v="0"/>
  </r>
  <r>
    <n v="16616"/>
    <s v="Luke"/>
    <s v="Bailey"/>
    <s v="India "/>
    <x v="2"/>
    <x v="2"/>
    <s v="38 84 21"/>
    <s v="luke.bailey@gmail.com"/>
    <x v="4"/>
    <n v="4887"/>
    <x v="57"/>
    <d v="2020-04-04T00:00:00"/>
    <n v="3"/>
    <n v="38980"/>
    <x v="0"/>
  </r>
  <r>
    <n v="20193"/>
    <s v="William"/>
    <s v="Glover"/>
    <s v="India "/>
    <x v="3"/>
    <x v="3"/>
    <s v="11 00 07"/>
    <s v="william.glover@gmail.com"/>
    <x v="0"/>
    <n v="5321"/>
    <x v="58"/>
    <d v="2020-04-28T00:00:00"/>
    <n v="1"/>
    <n v="66989"/>
    <x v="0"/>
  </r>
  <r>
    <n v="12920"/>
    <s v="Chloe"/>
    <s v="Allan"/>
    <s v="India "/>
    <x v="0"/>
    <x v="0"/>
    <s v="81 31 08"/>
    <s v="chloe.allan@gmail.com"/>
    <x v="1"/>
    <n v="5087"/>
    <x v="59"/>
    <d v="2020-01-18T00:00:00"/>
    <n v="2"/>
    <n v="34690"/>
    <x v="0"/>
  </r>
  <r>
    <n v="15015"/>
    <s v="Robert"/>
    <s v="Ferguson"/>
    <s v="India "/>
    <x v="1"/>
    <x v="1"/>
    <s v="60 50 01"/>
    <s v="robert.ferguson@gmail.com"/>
    <x v="3"/>
    <n v="4712"/>
    <x v="60"/>
    <d v="2020-01-21T00:00:00"/>
    <n v="10"/>
    <n v="36990"/>
    <x v="0"/>
  </r>
  <r>
    <n v="14124"/>
    <s v="Diane"/>
    <s v="Ellison"/>
    <s v="India "/>
    <x v="0"/>
    <x v="0"/>
    <s v="81 31 08"/>
    <s v="diane.ellison@gmail.com"/>
    <x v="0"/>
    <n v="5089"/>
    <x v="42"/>
    <d v="2020-06-02T00:00:00"/>
    <n v="4"/>
    <n v="66989"/>
    <x v="0"/>
  </r>
  <r>
    <n v="22928"/>
    <s v="Jasmine"/>
    <s v="Mackay"/>
    <s v="India "/>
    <x v="2"/>
    <x v="2"/>
    <s v="38 84 21"/>
    <s v="jasmine.mackay@gmail.com"/>
    <x v="4"/>
    <n v="4860"/>
    <x v="42"/>
    <d v="2020-06-02T00:00:00"/>
    <n v="1"/>
    <n v="38980"/>
    <x v="0"/>
  </r>
  <r>
    <n v="16097"/>
    <s v="Carolyn"/>
    <s v="Ince"/>
    <s v="India "/>
    <x v="2"/>
    <x v="2"/>
    <s v="38 84 21"/>
    <s v="carolyn.ince@gmail.com"/>
    <x v="2"/>
    <n v="4971"/>
    <x v="3"/>
    <d v="2020-05-13T00:00:00"/>
    <n v="2"/>
    <n v="57999"/>
    <x v="0"/>
  </r>
  <r>
    <n v="24522"/>
    <s v="Andrew"/>
    <s v="Walker"/>
    <s v="India "/>
    <x v="2"/>
    <x v="2"/>
    <s v="38 84 21"/>
    <s v="andrew.walker@gmail.com"/>
    <x v="3"/>
    <n v="5093"/>
    <x v="4"/>
    <d v="2020-04-09T00:00:00"/>
    <n v="4"/>
    <n v="36990"/>
    <x v="0"/>
  </r>
  <r>
    <n v="21663"/>
    <s v="Katherine"/>
    <s v="Morgan"/>
    <s v="India "/>
    <x v="3"/>
    <x v="3"/>
    <s v="11 00 07"/>
    <s v="katherine.morgan@gmail.com"/>
    <x v="4"/>
    <n v="5382"/>
    <x v="5"/>
    <d v="2020-05-28T00:00:00"/>
    <n v="6"/>
    <n v="38980"/>
    <x v="0"/>
  </r>
  <r>
    <n v="14535"/>
    <s v="William"/>
    <s v="MacDonald"/>
    <s v="India "/>
    <x v="2"/>
    <x v="2"/>
    <s v="38 84 21"/>
    <s v="william.macdonald@gmail.com"/>
    <x v="0"/>
    <n v="4695"/>
    <x v="6"/>
    <d v="2020-02-15T00:00:00"/>
    <n v="8"/>
    <n v="66989"/>
    <x v="0"/>
  </r>
  <r>
    <n v="22169"/>
    <s v="Keith"/>
    <s v="Welch"/>
    <s v="India "/>
    <x v="2"/>
    <x v="2"/>
    <s v="38 84 21"/>
    <s v="keith.welch@gmail.com"/>
    <x v="2"/>
    <n v="5210"/>
    <x v="6"/>
    <d v="2020-02-14T00:00:00"/>
    <n v="5"/>
    <n v="57999"/>
    <x v="0"/>
  </r>
  <r>
    <n v="14512"/>
    <s v="Kylie"/>
    <s v="Taylor"/>
    <s v="India "/>
    <x v="3"/>
    <x v="3"/>
    <s v="11 00 07"/>
    <s v="kylie.taylor@gmail.com"/>
    <x v="4"/>
    <n v="4916"/>
    <x v="7"/>
    <d v="2020-05-16T00:00:00"/>
    <n v="1"/>
    <n v="38980"/>
    <x v="0"/>
  </r>
  <r>
    <n v="24325"/>
    <s v="Tim"/>
    <s v="Edmunds"/>
    <s v="India "/>
    <x v="3"/>
    <x v="3"/>
    <s v="11 00 07"/>
    <s v="tim.edmunds@gmail.com"/>
    <x v="0"/>
    <n v="4903"/>
    <x v="8"/>
    <d v="2020-05-23T00:00:00"/>
    <n v="5"/>
    <n v="66989"/>
    <x v="0"/>
  </r>
  <r>
    <n v="18558"/>
    <s v="Ryan"/>
    <s v="Parsons"/>
    <s v="India "/>
    <x v="0"/>
    <x v="0"/>
    <s v="81 31 08"/>
    <s v="ryan.parsons@gmail.com"/>
    <x v="1"/>
    <n v="5429"/>
    <x v="7"/>
    <d v="2020-05-16T00:00:00"/>
    <n v="4"/>
    <n v="34690"/>
    <x v="0"/>
  </r>
  <r>
    <n v="13240"/>
    <s v="Carolyn"/>
    <s v="Lewis"/>
    <s v="India "/>
    <x v="1"/>
    <x v="1"/>
    <s v="60 50 01"/>
    <s v="carolyn.lewis@gmail.com"/>
    <x v="2"/>
    <n v="5456"/>
    <x v="8"/>
    <d v="2020-05-22T00:00:00"/>
    <n v="2"/>
    <n v="57999"/>
    <x v="0"/>
  </r>
  <r>
    <n v="13132"/>
    <s v="Warren"/>
    <s v="Berry"/>
    <s v="India "/>
    <x v="0"/>
    <x v="0"/>
    <s v="81 31 08"/>
    <s v="warren.berry@gmail.com"/>
    <x v="3"/>
    <n v="5260"/>
    <x v="8"/>
    <d v="2020-05-23T00:00:00"/>
    <n v="4"/>
    <n v="36990"/>
    <x v="0"/>
  </r>
  <r>
    <n v="13232"/>
    <s v="Deirdre"/>
    <s v="Harris"/>
    <s v="India "/>
    <x v="2"/>
    <x v="2"/>
    <s v="38 84 21"/>
    <s v="deirdre.harris@gmail.com"/>
    <x v="4"/>
    <n v="5249"/>
    <x v="9"/>
    <d v="2020-01-29T00:00:00"/>
    <n v="1"/>
    <n v="38980"/>
    <x v="0"/>
  </r>
  <r>
    <n v="18776"/>
    <s v="Sarah"/>
    <s v="Dowd"/>
    <s v="India "/>
    <x v="2"/>
    <x v="2"/>
    <s v="38 84 21"/>
    <s v="sarah.dowd@gmail.com"/>
    <x v="0"/>
    <n v="4940"/>
    <x v="9"/>
    <d v="2020-01-30T00:00:00"/>
    <n v="6"/>
    <n v="66989"/>
    <x v="0"/>
  </r>
  <r>
    <n v="13445"/>
    <s v="Bernadette"/>
    <s v="Buckland"/>
    <s v="India "/>
    <x v="3"/>
    <x v="3"/>
    <s v="11 00 07"/>
    <s v="bernadette.buckland@gmail.com"/>
    <x v="2"/>
    <n v="5288"/>
    <x v="10"/>
    <d v="2020-05-04T00:00:00"/>
    <n v="3"/>
    <n v="57999"/>
    <x v="0"/>
  </r>
  <r>
    <n v="14243"/>
    <s v="Tim"/>
    <s v="Hudson"/>
    <s v="India "/>
    <x v="0"/>
    <x v="0"/>
    <s v="81 31 08"/>
    <s v="tim.hudson@gmail.com"/>
    <x v="4"/>
    <n v="4534"/>
    <x v="11"/>
    <d v="2020-02-23T00:00:00"/>
    <n v="4"/>
    <n v="38980"/>
    <x v="0"/>
  </r>
  <r>
    <n v="15484"/>
    <s v="Natalie"/>
    <s v="Reid"/>
    <s v="India "/>
    <x v="1"/>
    <x v="1"/>
    <s v="60 50 01"/>
    <s v="natalie.reid@gmail.com"/>
    <x v="0"/>
    <n v="5413"/>
    <x v="12"/>
    <d v="2020-03-28T00:00:00"/>
    <n v="10"/>
    <n v="66989"/>
    <x v="0"/>
  </r>
  <r>
    <n v="18138"/>
    <s v="Julia"/>
    <s v="Watson"/>
    <s v="India "/>
    <x v="0"/>
    <x v="0"/>
    <s v="81 31 08"/>
    <s v="julia.watson@gmail.com"/>
    <x v="1"/>
    <n v="5213"/>
    <x v="13"/>
    <d v="2020-01-22T00:00:00"/>
    <n v="1"/>
    <n v="34690"/>
    <x v="0"/>
  </r>
  <r>
    <n v="15465"/>
    <s v="Hannah"/>
    <s v="Burgess"/>
    <s v="India "/>
    <x v="2"/>
    <x v="2"/>
    <s v="38 84 21"/>
    <s v="hannah.burgess@gmail.com"/>
    <x v="3"/>
    <n v="5026"/>
    <x v="14"/>
    <d v="2020-03-19T00:00:00"/>
    <n v="1"/>
    <n v="36990"/>
    <x v="0"/>
  </r>
  <r>
    <n v="15225"/>
    <s v="Alan"/>
    <s v="Johnston"/>
    <s v="India "/>
    <x v="2"/>
    <x v="2"/>
    <s v="38 84 21"/>
    <s v="alan.johnston@gmail.com"/>
    <x v="0"/>
    <n v="4976"/>
    <x v="15"/>
    <d v="2020-06-17T00:00:00"/>
    <n v="7"/>
    <n v="66989"/>
    <x v="0"/>
  </r>
  <r>
    <n v="23386"/>
    <s v="Una"/>
    <s v="Short"/>
    <s v="India "/>
    <x v="3"/>
    <x v="3"/>
    <s v="11 00 07"/>
    <s v="una.short@gmail.com"/>
    <x v="4"/>
    <n v="4959"/>
    <x v="15"/>
    <d v="2020-06-16T00:00:00"/>
    <n v="5"/>
    <n v="38980"/>
    <x v="0"/>
  </r>
  <r>
    <n v="19933"/>
    <s v="Jennifer"/>
    <s v="Kelly"/>
    <s v="India "/>
    <x v="0"/>
    <x v="0"/>
    <s v="81 31 08"/>
    <s v="jennifer.kelly@gmail.com"/>
    <x v="2"/>
    <n v="4873"/>
    <x v="16"/>
    <d v="2020-05-11T00:00:00"/>
    <n v="7"/>
    <n v="57999"/>
    <x v="0"/>
  </r>
  <r>
    <n v="14983"/>
    <s v="Jack"/>
    <s v="May"/>
    <s v="India "/>
    <x v="3"/>
    <x v="3"/>
    <s v="11 00 07"/>
    <s v="jack.may@gmail.com"/>
    <x v="3"/>
    <n v="5494"/>
    <x v="17"/>
    <d v="2020-03-10T00:00:00"/>
    <n v="8"/>
    <n v="36990"/>
    <x v="0"/>
  </r>
  <r>
    <n v="25457"/>
    <s v="Alexander"/>
    <s v="Blake"/>
    <s v="India "/>
    <x v="0"/>
    <x v="0"/>
    <s v="81 31 08"/>
    <s v="alexander.blake@gmail.com"/>
    <x v="4"/>
    <n v="5412"/>
    <x v="9"/>
    <d v="2020-01-30T00:00:00"/>
    <n v="10"/>
    <n v="38980"/>
    <x v="0"/>
  </r>
  <r>
    <n v="16186"/>
    <s v="Alexander"/>
    <s v="Davidson"/>
    <s v="India "/>
    <x v="1"/>
    <x v="1"/>
    <s v="60 50 01"/>
    <s v="alexander.davidson@gmail.com"/>
    <x v="0"/>
    <n v="5050"/>
    <x v="17"/>
    <d v="2020-03-11T00:00:00"/>
    <n v="7"/>
    <n v="66989"/>
    <x v="0"/>
  </r>
  <r>
    <n v="23501"/>
    <s v="Blake"/>
    <s v="Lambert"/>
    <s v="India "/>
    <x v="0"/>
    <x v="0"/>
    <s v="81 31 08"/>
    <s v="blake.lambert@gmail.com"/>
    <x v="2"/>
    <n v="4722"/>
    <x v="18"/>
    <d v="2020-04-21T00:00:00"/>
    <n v="5"/>
    <n v="57999"/>
    <x v="0"/>
  </r>
  <r>
    <n v="14470"/>
    <s v="Sophie"/>
    <s v="Burgess"/>
    <s v="India "/>
    <x v="2"/>
    <x v="2"/>
    <s v="38 84 21"/>
    <s v="sophie.burgess@gmail.com"/>
    <x v="4"/>
    <n v="5317"/>
    <x v="18"/>
    <d v="2020-04-21T00:00:00"/>
    <n v="10"/>
    <n v="38980"/>
    <x v="0"/>
  </r>
  <r>
    <n v="19347"/>
    <s v="Nathan"/>
    <s v="Gibson"/>
    <s v="India "/>
    <x v="0"/>
    <x v="0"/>
    <s v="81 31 08"/>
    <s v="nathan.gibson@gmail.com"/>
    <x v="0"/>
    <n v="4976"/>
    <x v="19"/>
    <d v="2020-05-11T00:00:00"/>
    <n v="3"/>
    <n v="66989"/>
    <x v="0"/>
  </r>
  <r>
    <n v="15780"/>
    <s v="Virginia"/>
    <s v="Glover"/>
    <s v="India "/>
    <x v="1"/>
    <x v="1"/>
    <s v="60 50 01"/>
    <s v="virginia.glover@gmail.com"/>
    <x v="1"/>
    <n v="5031"/>
    <x v="20"/>
    <d v="2020-06-14T00:00:00"/>
    <n v="6"/>
    <n v="34690"/>
    <x v="0"/>
  </r>
  <r>
    <n v="20077"/>
    <s v="Melanie"/>
    <s v="Grant"/>
    <s v="India "/>
    <x v="0"/>
    <x v="0"/>
    <s v="81 31 08"/>
    <s v="melanie.grant@gmail.com"/>
    <x v="0"/>
    <n v="5104"/>
    <x v="21"/>
    <d v="2020-03-04T00:00:00"/>
    <n v="1"/>
    <n v="66989"/>
    <x v="0"/>
  </r>
  <r>
    <n v="25261"/>
    <s v="Ella"/>
    <s v="Lewis"/>
    <s v="India "/>
    <x v="2"/>
    <x v="2"/>
    <s v="38 84 21"/>
    <s v="ella.lewis@gmail.com"/>
    <x v="1"/>
    <n v="4702"/>
    <x v="21"/>
    <d v="2020-03-02T00:00:00"/>
    <n v="9"/>
    <n v="34690"/>
    <x v="0"/>
  </r>
  <r>
    <n v="16797"/>
    <s v="Anna"/>
    <s v="Reid"/>
    <s v="India "/>
    <x v="2"/>
    <x v="2"/>
    <s v="38 84 21"/>
    <s v="anna.reid@gmail.com"/>
    <x v="2"/>
    <n v="4744"/>
    <x v="22"/>
    <d v="2020-01-09T00:00:00"/>
    <n v="10"/>
    <n v="57999"/>
    <x v="0"/>
  </r>
  <r>
    <n v="18707"/>
    <s v="Ryan"/>
    <s v="Burgess"/>
    <s v="India "/>
    <x v="2"/>
    <x v="2"/>
    <s v="38 84 21"/>
    <s v="ryan.burgess@gmail.com"/>
    <x v="3"/>
    <n v="5210"/>
    <x v="22"/>
    <d v="2020-01-02T00:00:00"/>
    <n v="2"/>
    <n v="36990"/>
    <x v="0"/>
  </r>
  <r>
    <n v="24128"/>
    <s v="Megan"/>
    <s v="Berry"/>
    <s v="India "/>
    <x v="2"/>
    <x v="2"/>
    <s v="38 84 21"/>
    <s v="megan.berry@gmail.com"/>
    <x v="4"/>
    <n v="4662"/>
    <x v="22"/>
    <d v="2020-01-04T00:00:00"/>
    <n v="6"/>
    <n v="38980"/>
    <x v="0"/>
  </r>
  <r>
    <n v="23715"/>
    <s v="Lauren"/>
    <s v="Gray"/>
    <s v="India "/>
    <x v="3"/>
    <x v="3"/>
    <s v="11 00 07"/>
    <s v="lauren.gray@gmail.com"/>
    <x v="0"/>
    <n v="5220"/>
    <x v="22"/>
    <d v="2020-01-09T00:00:00"/>
    <n v="9"/>
    <n v="66989"/>
    <x v="0"/>
  </r>
  <r>
    <n v="16452"/>
    <s v="Jennifer"/>
    <s v="Gray"/>
    <s v="India "/>
    <x v="0"/>
    <x v="0"/>
    <s v="81 31 08"/>
    <s v="jennifer.gray@gmail.com"/>
    <x v="2"/>
    <n v="5392"/>
    <x v="23"/>
    <d v="2020-02-04T00:00:00"/>
    <n v="1"/>
    <n v="57999"/>
    <x v="0"/>
  </r>
  <r>
    <n v="24192"/>
    <s v="Andrew"/>
    <s v="Glover"/>
    <s v="India "/>
    <x v="1"/>
    <x v="1"/>
    <s v="60 50 01"/>
    <s v="andrew.glover@gmail.com"/>
    <x v="4"/>
    <n v="5349"/>
    <x v="23"/>
    <d v="2020-02-04T00:00:00"/>
    <n v="1"/>
    <n v="38980"/>
    <x v="0"/>
  </r>
  <r>
    <n v="16506"/>
    <s v="Nicola"/>
    <s v="May"/>
    <s v="India "/>
    <x v="0"/>
    <x v="0"/>
    <s v="81 31 08"/>
    <s v="nicola.may@gmail.com"/>
    <x v="0"/>
    <n v="4553"/>
    <x v="24"/>
    <d v="2020-03-15T00:00:00"/>
    <n v="6"/>
    <n v="66989"/>
    <x v="0"/>
  </r>
  <r>
    <n v="14868"/>
    <s v="Carolyn"/>
    <s v="Gill"/>
    <s v="India "/>
    <x v="2"/>
    <x v="2"/>
    <s v="38 84 21"/>
    <s v="carolyn.gill@gmail.com"/>
    <x v="1"/>
    <n v="5400"/>
    <x v="23"/>
    <d v="2020-02-03T00:00:00"/>
    <n v="10"/>
    <n v="34690"/>
    <x v="0"/>
  </r>
  <r>
    <n v="20874"/>
    <s v="Virginia"/>
    <s v="Wilson"/>
    <s v="India "/>
    <x v="2"/>
    <x v="2"/>
    <s v="38 84 21"/>
    <s v="virginia.wilson@gmail.com"/>
    <x v="0"/>
    <n v="5212"/>
    <x v="25"/>
    <d v="2020-04-02T00:00:00"/>
    <n v="9"/>
    <n v="66989"/>
    <x v="0"/>
  </r>
  <r>
    <n v="24615"/>
    <s v="Ella"/>
    <s v="Grant"/>
    <s v="India "/>
    <x v="3"/>
    <x v="3"/>
    <s v="11 00 07"/>
    <s v="ella.grant@gmail.com"/>
    <x v="4"/>
    <n v="5182"/>
    <x v="26"/>
    <d v="2020-06-08T00:00:00"/>
    <n v="9"/>
    <n v="38980"/>
    <x v="0"/>
  </r>
  <r>
    <n v="20115"/>
    <s v="Michelle"/>
    <s v="Buckland"/>
    <s v="India "/>
    <x v="0"/>
    <x v="0"/>
    <s v="81 31 08"/>
    <s v="michelle.buckland@gmail.com"/>
    <x v="2"/>
    <n v="5428"/>
    <x v="27"/>
    <d v="2020-03-23T00:00:00"/>
    <n v="5"/>
    <n v="57999"/>
    <x v="0"/>
  </r>
  <r>
    <n v="15316"/>
    <s v="Audrey"/>
    <s v="Ogden"/>
    <s v="India "/>
    <x v="1"/>
    <x v="1"/>
    <s v="60 50 01"/>
    <s v="audrey.ogden@gmail.com"/>
    <x v="3"/>
    <n v="5131"/>
    <x v="27"/>
    <d v="2020-03-25T00:00:00"/>
    <n v="3"/>
    <n v="36990"/>
    <x v="0"/>
  </r>
  <r>
    <n v="12594"/>
    <s v="Vanessa"/>
    <s v="Sharp"/>
    <s v="India "/>
    <x v="0"/>
    <x v="0"/>
    <s v="81 31 08"/>
    <s v="vanessa.sharp@gmail.com"/>
    <x v="4"/>
    <n v="5491"/>
    <x v="28"/>
    <d v="2020-05-18T00:00:00"/>
    <n v="4"/>
    <n v="38980"/>
    <x v="0"/>
  </r>
  <r>
    <n v="22191"/>
    <s v="Simon"/>
    <s v="Buckland"/>
    <s v="India "/>
    <x v="2"/>
    <x v="2"/>
    <s v="38 84 21"/>
    <s v="simon.buckland@gmail.com"/>
    <x v="0"/>
    <n v="4894"/>
    <x v="29"/>
    <d v="2020-02-20T00:00:00"/>
    <n v="5"/>
    <n v="66989"/>
    <x v="0"/>
  </r>
  <r>
    <n v="18783"/>
    <s v="Sarah"/>
    <s v="Welch"/>
    <s v="India "/>
    <x v="2"/>
    <x v="2"/>
    <s v="38 84 21"/>
    <s v="sarah.welch@gmail.com"/>
    <x v="2"/>
    <n v="4757"/>
    <x v="30"/>
    <d v="2020-03-06T00:00:00"/>
    <n v="2"/>
    <n v="57999"/>
    <x v="0"/>
  </r>
  <r>
    <n v="15771"/>
    <s v="Rachel"/>
    <s v="Stewart"/>
    <s v="India "/>
    <x v="2"/>
    <x v="2"/>
    <s v="38 84 21"/>
    <s v="rachel.stewart@gmail.com"/>
    <x v="4"/>
    <n v="5346"/>
    <x v="28"/>
    <d v="2020-05-19T00:00:00"/>
    <n v="1"/>
    <n v="38980"/>
    <x v="0"/>
  </r>
  <r>
    <n v="18694"/>
    <s v="Ella"/>
    <s v="Oliver"/>
    <s v="India "/>
    <x v="3"/>
    <x v="3"/>
    <s v="11 00 07"/>
    <s v="ella.oliver@gmail.com"/>
    <x v="0"/>
    <n v="5252"/>
    <x v="28"/>
    <d v="2020-05-18T00:00:00"/>
    <n v="9"/>
    <n v="66989"/>
    <x v="0"/>
  </r>
  <r>
    <n v="23346"/>
    <s v="Harry"/>
    <s v="Vaughan"/>
    <s v="India "/>
    <x v="2"/>
    <x v="2"/>
    <s v="38 84 21"/>
    <s v="harry.vaughan@gmail.com"/>
    <x v="1"/>
    <n v="4610"/>
    <x v="31"/>
    <d v="2020-06-09T00:00:00"/>
    <n v="6"/>
    <n v="34690"/>
    <x v="0"/>
  </r>
  <r>
    <n v="24570"/>
    <s v="James"/>
    <s v="Oliver"/>
    <s v="India "/>
    <x v="2"/>
    <x v="2"/>
    <s v="38 84 21"/>
    <s v="james.oliver@gmail.com"/>
    <x v="0"/>
    <n v="5291"/>
    <x v="32"/>
    <d v="2020-05-05T00:00:00"/>
    <n v="5"/>
    <n v="66989"/>
    <x v="0"/>
  </r>
  <r>
    <n v="17715"/>
    <s v="Ava"/>
    <s v="Langdon"/>
    <s v="India "/>
    <x v="3"/>
    <x v="3"/>
    <s v="11 00 07"/>
    <s v="ava.langdon@gmail.com"/>
    <x v="1"/>
    <n v="5002"/>
    <x v="32"/>
    <d v="2020-05-05T00:00:00"/>
    <n v="8"/>
    <n v="34690"/>
    <x v="0"/>
  </r>
  <r>
    <n v="21122"/>
    <s v="Diane"/>
    <s v="Randall"/>
    <s v="India "/>
    <x v="3"/>
    <x v="3"/>
    <s v="11 00 07"/>
    <s v="diane.randall@gmail.com"/>
    <x v="2"/>
    <n v="5180"/>
    <x v="32"/>
    <d v="2020-05-05T00:00:00"/>
    <n v="5"/>
    <n v="57999"/>
    <x v="0"/>
  </r>
  <r>
    <n v="12745"/>
    <s v="Richard"/>
    <s v="North"/>
    <s v="India "/>
    <x v="0"/>
    <x v="0"/>
    <s v="81 31 08"/>
    <s v="richard.north@gmail.com"/>
    <x v="3"/>
    <n v="4799"/>
    <x v="32"/>
    <d v="2020-05-04T00:00:00"/>
    <n v="1"/>
    <n v="36990"/>
    <x v="0"/>
  </r>
  <r>
    <n v="19593"/>
    <s v="Elizabeth"/>
    <s v="Roberts"/>
    <s v="India "/>
    <x v="1"/>
    <x v="1"/>
    <s v="60 50 01"/>
    <s v="elizabeth.roberts@gmail.com"/>
    <x v="4"/>
    <n v="5071"/>
    <x v="33"/>
    <d v="2020-06-24T00:00:00"/>
    <n v="4"/>
    <n v="38980"/>
    <x v="0"/>
  </r>
  <r>
    <n v="15938"/>
    <s v="Luke"/>
    <s v="Langdon"/>
    <s v="India "/>
    <x v="0"/>
    <x v="0"/>
    <s v="81 31 08"/>
    <s v="luke.langdon@gmail.com"/>
    <x v="0"/>
    <n v="4813"/>
    <x v="34"/>
    <d v="2020-04-07T00:00:00"/>
    <n v="1"/>
    <n v="66989"/>
    <x v="0"/>
  </r>
  <r>
    <n v="17289"/>
    <s v="Cameron"/>
    <s v="Piper"/>
    <s v="India "/>
    <x v="2"/>
    <x v="2"/>
    <s v="38 84 21"/>
    <s v="cameron.piper@gmail.com"/>
    <x v="2"/>
    <n v="5211"/>
    <x v="33"/>
    <d v="2020-06-24T00:00:00"/>
    <n v="5"/>
    <n v="57999"/>
    <x v="0"/>
  </r>
  <r>
    <n v="24546"/>
    <s v="Andrew"/>
    <s v="Lawrence"/>
    <s v="India "/>
    <x v="2"/>
    <x v="2"/>
    <s v="38 84 21"/>
    <s v="andrew.lawrence@gmail.com"/>
    <x v="4"/>
    <n v="4851"/>
    <x v="33"/>
    <d v="2020-06-23T00:00:00"/>
    <n v="10"/>
    <n v="38980"/>
    <x v="0"/>
  </r>
  <r>
    <n v="14391"/>
    <s v="Sebastian"/>
    <s v="Paige"/>
    <s v="India "/>
    <x v="3"/>
    <x v="3"/>
    <s v="11 00 07"/>
    <s v="sebastian.paige@gmail.com"/>
    <x v="0"/>
    <n v="4967"/>
    <x v="34"/>
    <d v="2020-04-07T00:00:00"/>
    <n v="4"/>
    <n v="66989"/>
    <x v="0"/>
  </r>
  <r>
    <n v="23607"/>
    <s v="Nicola"/>
    <s v="Harris"/>
    <s v="India "/>
    <x v="0"/>
    <x v="0"/>
    <s v="81 31 08"/>
    <s v="nicola.harris@gmail.com"/>
    <x v="1"/>
    <n v="4602"/>
    <x v="33"/>
    <d v="2020-06-23T00:00:00"/>
    <n v="8"/>
    <n v="34690"/>
    <x v="0"/>
  </r>
  <r>
    <n v="14489"/>
    <s v="Tracey"/>
    <s v="McLean"/>
    <s v="India "/>
    <x v="2"/>
    <x v="2"/>
    <s v="38 84 21"/>
    <s v="tracey.mclean@gmail.com"/>
    <x v="3"/>
    <n v="4947"/>
    <x v="35"/>
    <d v="2020-01-04T00:00:00"/>
    <n v="6"/>
    <n v="36990"/>
    <x v="0"/>
  </r>
  <r>
    <n v="25070"/>
    <s v="Gabrielle"/>
    <s v="Randall"/>
    <s v="India "/>
    <x v="3"/>
    <x v="3"/>
    <s v="11 00 07"/>
    <s v="gabrielle.randall@gmail.com"/>
    <x v="0"/>
    <n v="4652"/>
    <x v="36"/>
    <d v="2020-04-06T00:00:00"/>
    <n v="2"/>
    <n v="66989"/>
    <x v="0"/>
  </r>
  <r>
    <n v="20846"/>
    <s v="Ava"/>
    <s v="Buckland"/>
    <s v="India "/>
    <x v="0"/>
    <x v="0"/>
    <s v="81 31 08"/>
    <s v="ava.buckland@gmail.com"/>
    <x v="4"/>
    <n v="5493"/>
    <x v="36"/>
    <d v="2020-04-06T00:00:00"/>
    <n v="1"/>
    <n v="38980"/>
    <x v="0"/>
  </r>
  <r>
    <n v="15241"/>
    <s v="Audrey"/>
    <s v="Murray"/>
    <s v="India "/>
    <x v="3"/>
    <x v="3"/>
    <s v="11 00 07"/>
    <s v="audrey.murray@gmail.com"/>
    <x v="2"/>
    <n v="4614"/>
    <x v="37"/>
    <d v="2020-04-11T00:00:00"/>
    <n v="4"/>
    <n v="57999"/>
    <x v="0"/>
  </r>
  <r>
    <n v="21808"/>
    <s v="Lucas"/>
    <s v="Metcalfe"/>
    <s v="India "/>
    <x v="0"/>
    <x v="0"/>
    <s v="81 31 08"/>
    <s v="lucas.metcalfe@gmail.com"/>
    <x v="3"/>
    <n v="5101"/>
    <x v="35"/>
    <d v="2020-01-04T00:00:00"/>
    <n v="10"/>
    <n v="36990"/>
    <x v="0"/>
  </r>
  <r>
    <n v="20033"/>
    <s v="Jacob"/>
    <s v="Rutherford"/>
    <s v="India "/>
    <x v="1"/>
    <x v="1"/>
    <s v="60 50 01"/>
    <s v="jacob.rutherford@gmail.com"/>
    <x v="4"/>
    <n v="4926"/>
    <x v="36"/>
    <d v="2020-04-06T00:00:00"/>
    <n v="8"/>
    <n v="38980"/>
    <x v="0"/>
  </r>
  <r>
    <n v="23471"/>
    <s v="Emily"/>
    <s v="Skinner"/>
    <s v="India "/>
    <x v="0"/>
    <x v="0"/>
    <s v="81 31 08"/>
    <s v="emily.skinner@gmail.com"/>
    <x v="0"/>
    <n v="4591"/>
    <x v="3"/>
    <d v="2020-05-14T00:00:00"/>
    <n v="4"/>
    <n v="66989"/>
    <x v="0"/>
  </r>
  <r>
    <n v="20377"/>
    <s v="Heather"/>
    <s v="Dyer"/>
    <s v="India "/>
    <x v="2"/>
    <x v="2"/>
    <s v="38 84 21"/>
    <s v="heather.dyer@gmail.com"/>
    <x v="2"/>
    <n v="5256"/>
    <x v="3"/>
    <d v="2020-05-13T00:00:00"/>
    <n v="6"/>
    <n v="57999"/>
    <x v="0"/>
  </r>
  <r>
    <n v="24401"/>
    <s v="James"/>
    <s v="Parr"/>
    <s v="India "/>
    <x v="0"/>
    <x v="0"/>
    <s v="81 31 08"/>
    <s v="james.parr@gmail.com"/>
    <x v="4"/>
    <n v="4812"/>
    <x v="3"/>
    <d v="2020-05-13T00:00:00"/>
    <n v="2"/>
    <n v="38980"/>
    <x v="0"/>
  </r>
  <r>
    <n v="15249"/>
    <s v="Jennifer"/>
    <s v="Ross"/>
    <s v="India "/>
    <x v="1"/>
    <x v="1"/>
    <s v="60 50 01"/>
    <s v="jennifer.ross@gmail.com"/>
    <x v="0"/>
    <n v="4904"/>
    <x v="3"/>
    <d v="2020-05-13T00:00:00"/>
    <n v="6"/>
    <n v="66989"/>
    <x v="0"/>
  </r>
  <r>
    <n v="24708"/>
    <s v="Austin"/>
    <s v="Burgess"/>
    <s v="India "/>
    <x v="0"/>
    <x v="0"/>
    <s v="81 31 08"/>
    <s v="austin.burgess@gmail.com"/>
    <x v="1"/>
    <n v="4969"/>
    <x v="4"/>
    <d v="2020-04-09T00:00:00"/>
    <n v="7"/>
    <n v="34690"/>
    <x v="0"/>
  </r>
  <r>
    <n v="21443"/>
    <s v="Molly"/>
    <s v="Bond"/>
    <s v="India "/>
    <x v="2"/>
    <x v="2"/>
    <s v="38 84 21"/>
    <s v="molly.bond@gmail.com"/>
    <x v="2"/>
    <n v="5202"/>
    <x v="5"/>
    <d v="2020-05-28T00:00:00"/>
    <n v="4"/>
    <n v="57999"/>
    <x v="0"/>
  </r>
  <r>
    <n v="25376"/>
    <s v="Grace"/>
    <s v="Ferguson"/>
    <s v="India "/>
    <x v="2"/>
    <x v="2"/>
    <s v="38 84 21"/>
    <s v="grace.ferguson@gmail.com"/>
    <x v="3"/>
    <n v="5526"/>
    <x v="6"/>
    <d v="2020-02-15T00:00:00"/>
    <n v="7"/>
    <n v="36990"/>
    <x v="0"/>
  </r>
  <r>
    <n v="21124"/>
    <s v="Julian"/>
    <s v="Sharp"/>
    <s v="India "/>
    <x v="2"/>
    <x v="2"/>
    <s v="38 84 21"/>
    <s v="julian.sharp@gmail.com"/>
    <x v="4"/>
    <n v="5353"/>
    <x v="6"/>
    <d v="2020-02-14T00:00:00"/>
    <n v="3"/>
    <n v="38980"/>
    <x v="0"/>
  </r>
  <r>
    <n v="12786"/>
    <s v="Andrew"/>
    <s v="Morgan"/>
    <s v="India "/>
    <x v="2"/>
    <x v="2"/>
    <s v="38 84 21"/>
    <s v="andrew.morgan@gmail.com"/>
    <x v="0"/>
    <n v="5251"/>
    <x v="7"/>
    <d v="2020-05-16T00:00:00"/>
    <n v="8"/>
    <n v="66989"/>
    <x v="0"/>
  </r>
  <r>
    <n v="22486"/>
    <s v="Sebastian"/>
    <s v="Fraser"/>
    <s v="India "/>
    <x v="3"/>
    <x v="3"/>
    <s v="11 00 07"/>
    <s v="sebastian.fraser@gmail.com"/>
    <x v="2"/>
    <n v="5426"/>
    <x v="8"/>
    <d v="2020-05-23T00:00:00"/>
    <n v="5"/>
    <n v="57999"/>
    <x v="0"/>
  </r>
  <r>
    <n v="19250"/>
    <s v="Matt"/>
    <s v="Hunter"/>
    <s v="India "/>
    <x v="0"/>
    <x v="0"/>
    <s v="81 31 08"/>
    <s v="matt.hunter@gmail.com"/>
    <x v="3"/>
    <n v="5117"/>
    <x v="7"/>
    <d v="2020-05-16T00:00:00"/>
    <n v="9"/>
    <n v="36990"/>
    <x v="0"/>
  </r>
  <r>
    <n v="24975"/>
    <s v="Claire"/>
    <s v="Manning"/>
    <s v="India "/>
    <x v="1"/>
    <x v="1"/>
    <s v="60 50 01"/>
    <s v="claire.manning@gmail.com"/>
    <x v="4"/>
    <n v="4668"/>
    <x v="8"/>
    <d v="2020-05-22T00:00:00"/>
    <n v="9"/>
    <n v="38980"/>
    <x v="0"/>
  </r>
  <r>
    <n v="15080"/>
    <s v="Gavin"/>
    <s v="Langdon"/>
    <s v="India "/>
    <x v="0"/>
    <x v="0"/>
    <s v="81 31 08"/>
    <s v="gavin.langdon@gmail.com"/>
    <x v="0"/>
    <n v="4996"/>
    <x v="8"/>
    <d v="2020-05-23T00:00:00"/>
    <n v="10"/>
    <n v="66989"/>
    <x v="0"/>
  </r>
  <r>
    <n v="18178"/>
    <s v="Zoe"/>
    <s v="Smith"/>
    <s v="India "/>
    <x v="2"/>
    <x v="2"/>
    <s v="38 84 21"/>
    <s v="zoe.smith@gmail.com"/>
    <x v="2"/>
    <n v="4856"/>
    <x v="9"/>
    <d v="2020-01-29T00:00:00"/>
    <n v="8"/>
    <n v="57999"/>
    <x v="0"/>
  </r>
  <r>
    <n v="18547"/>
    <s v="Michael"/>
    <s v="Henderson"/>
    <s v="India "/>
    <x v="2"/>
    <x v="2"/>
    <s v="38 84 21"/>
    <s v="michael.henderson@gmail.com"/>
    <x v="4"/>
    <n v="4599"/>
    <x v="9"/>
    <d v="2020-01-30T00:00:00"/>
    <n v="2"/>
    <n v="38980"/>
    <x v="0"/>
  </r>
  <r>
    <n v="20507"/>
    <s v="David"/>
    <s v="Reid"/>
    <s v="India "/>
    <x v="3"/>
    <x v="3"/>
    <s v="11 00 07"/>
    <s v="david.reid@gmail.com"/>
    <x v="0"/>
    <n v="5001"/>
    <x v="10"/>
    <d v="2020-05-04T00:00:00"/>
    <n v="8"/>
    <n v="66989"/>
    <x v="0"/>
  </r>
  <r>
    <n v="13732"/>
    <s v="Phil"/>
    <s v="Blake"/>
    <s v="India "/>
    <x v="0"/>
    <x v="0"/>
    <s v="81 31 08"/>
    <s v="phil.blake@gmail.com"/>
    <x v="1"/>
    <n v="5359"/>
    <x v="11"/>
    <d v="2020-02-23T00:00:00"/>
    <n v="7"/>
    <n v="34690"/>
    <x v="0"/>
  </r>
  <r>
    <n v="15312"/>
    <s v="Liam"/>
    <s v="Terry"/>
    <s v="India "/>
    <x v="1"/>
    <x v="1"/>
    <s v="60 50 01"/>
    <s v="liam.terry@gmail.com"/>
    <x v="3"/>
    <n v="4913"/>
    <x v="12"/>
    <d v="2020-03-28T00:00:00"/>
    <n v="2"/>
    <n v="36990"/>
    <x v="0"/>
  </r>
  <r>
    <n v="17958"/>
    <s v="Joshua"/>
    <s v="Bailey"/>
    <s v="India "/>
    <x v="0"/>
    <x v="0"/>
    <s v="81 31 08"/>
    <s v="joshua.bailey@gmail.com"/>
    <x v="0"/>
    <n v="4846"/>
    <x v="13"/>
    <d v="2020-01-22T00:00:00"/>
    <n v="3"/>
    <n v="66989"/>
    <x v="0"/>
  </r>
  <r>
    <n v="16972"/>
    <s v="Harry"/>
    <s v="King"/>
    <s v="India "/>
    <x v="2"/>
    <x v="2"/>
    <s v="38 84 21"/>
    <s v="harry.king@gmail.com"/>
    <x v="4"/>
    <n v="5046"/>
    <x v="14"/>
    <d v="2020-03-19T00:00:00"/>
    <n v="8"/>
    <n v="38980"/>
    <x v="0"/>
  </r>
  <r>
    <n v="20784"/>
    <s v="Joe"/>
    <s v="Dickens"/>
    <s v="India "/>
    <x v="2"/>
    <x v="2"/>
    <s v="38 84 21"/>
    <s v="joe.dickens@gmail.com"/>
    <x v="2"/>
    <n v="5042"/>
    <x v="15"/>
    <d v="2020-06-17T00:00:00"/>
    <n v="5"/>
    <n v="57999"/>
    <x v="0"/>
  </r>
  <r>
    <n v="15385"/>
    <s v="Vanessa"/>
    <s v="Murray"/>
    <s v="India "/>
    <x v="2"/>
    <x v="2"/>
    <s v="38 84 21"/>
    <s v="vanessa.murray@gmail.com"/>
    <x v="3"/>
    <n v="5312"/>
    <x v="15"/>
    <d v="2020-06-16T00:00:00"/>
    <n v="9"/>
    <n v="36990"/>
    <x v="0"/>
  </r>
  <r>
    <n v="16834"/>
    <s v="Leonard"/>
    <s v="Knox"/>
    <s v="India "/>
    <x v="2"/>
    <x v="2"/>
    <s v="38 84 21"/>
    <s v="leonard.knox@gmail.com"/>
    <x v="4"/>
    <n v="5366"/>
    <x v="16"/>
    <d v="2020-05-11T00:00:00"/>
    <n v="3"/>
    <n v="38980"/>
    <x v="0"/>
  </r>
  <r>
    <n v="17365"/>
    <s v="Boris"/>
    <s v="Skinner"/>
    <s v="India "/>
    <x v="3"/>
    <x v="3"/>
    <s v="11 00 07"/>
    <s v="boris.skinner@gmail.com"/>
    <x v="0"/>
    <n v="5382"/>
    <x v="17"/>
    <d v="2020-03-10T00:00:00"/>
    <n v="8"/>
    <n v="66989"/>
    <x v="0"/>
  </r>
  <r>
    <n v="15300"/>
    <s v="Brian"/>
    <s v="Rampling"/>
    <s v="India "/>
    <x v="0"/>
    <x v="0"/>
    <s v="81 31 08"/>
    <s v="brian.rampling@gmail.com"/>
    <x v="2"/>
    <n v="5107"/>
    <x v="9"/>
    <d v="2020-01-30T00:00:00"/>
    <n v="8"/>
    <n v="57999"/>
    <x v="0"/>
  </r>
  <r>
    <n v="23891"/>
    <s v="Angela"/>
    <s v="Berry"/>
    <s v="India "/>
    <x v="1"/>
    <x v="1"/>
    <s v="60 50 01"/>
    <s v="angela.berry@gmail.com"/>
    <x v="4"/>
    <n v="4723"/>
    <x v="17"/>
    <d v="2020-03-11T00:00:00"/>
    <n v="5"/>
    <n v="38980"/>
    <x v="0"/>
  </r>
  <r>
    <n v="19125"/>
    <s v="Steven"/>
    <s v="Dyer"/>
    <s v="India "/>
    <x v="0"/>
    <x v="0"/>
    <s v="81 31 08"/>
    <s v="steven.dyer@gmail.com"/>
    <x v="0"/>
    <n v="4709"/>
    <x v="18"/>
    <d v="2020-04-21T00:00:00"/>
    <n v="4"/>
    <n v="66989"/>
    <x v="0"/>
  </r>
  <r>
    <n v="22388"/>
    <s v="Nicholas"/>
    <s v="Brown"/>
    <s v="India "/>
    <x v="2"/>
    <x v="2"/>
    <s v="38 84 21"/>
    <s v="nicholas.brown@gmail.com"/>
    <x v="1"/>
    <n v="4961"/>
    <x v="18"/>
    <d v="2020-04-21T00:00:00"/>
    <n v="5"/>
    <n v="34690"/>
    <x v="0"/>
  </r>
  <r>
    <n v="24287"/>
    <s v="Lisa"/>
    <s v="Ellison"/>
    <s v="India "/>
    <x v="2"/>
    <x v="2"/>
    <s v="38 84 21"/>
    <s v="lisa.ellison@gmail.com"/>
    <x v="2"/>
    <n v="4614"/>
    <x v="19"/>
    <d v="2020-05-11T00:00:00"/>
    <n v="2"/>
    <n v="57999"/>
    <x v="0"/>
  </r>
  <r>
    <n v="16620"/>
    <s v="Edward"/>
    <s v="May"/>
    <s v="India "/>
    <x v="2"/>
    <x v="2"/>
    <s v="38 84 21"/>
    <s v="edward.may@gmail.com"/>
    <x v="3"/>
    <n v="5002"/>
    <x v="20"/>
    <d v="2020-06-14T00:00:00"/>
    <n v="9"/>
    <n v="36990"/>
    <x v="0"/>
  </r>
  <r>
    <n v="16417"/>
    <s v="Justin"/>
    <s v="Newman"/>
    <s v="India "/>
    <x v="3"/>
    <x v="3"/>
    <s v="11 00 07"/>
    <s v="justin.newman@gmail.com"/>
    <x v="4"/>
    <n v="4940"/>
    <x v="21"/>
    <d v="2020-03-04T00:00:00"/>
    <n v="2"/>
    <n v="38980"/>
    <x v="0"/>
  </r>
  <r>
    <n v="18409"/>
    <s v="Harry"/>
    <s v="Ball"/>
    <s v="India "/>
    <x v="2"/>
    <x v="2"/>
    <s v="38 84 21"/>
    <s v="harry.ball@gmail.com"/>
    <x v="0"/>
    <n v="5401"/>
    <x v="21"/>
    <d v="2020-03-02T00:00:00"/>
    <n v="10"/>
    <n v="66989"/>
    <x v="0"/>
  </r>
  <r>
    <n v="25262"/>
    <s v="Joseph"/>
    <s v="Walsh"/>
    <s v="India "/>
    <x v="2"/>
    <x v="2"/>
    <s v="38 84 21"/>
    <s v="joseph.walsh@gmail.com"/>
    <x v="2"/>
    <n v="4697"/>
    <x v="22"/>
    <d v="2020-01-09T00:00:00"/>
    <n v="3"/>
    <n v="57999"/>
    <x v="0"/>
  </r>
  <r>
    <n v="16594"/>
    <s v="Faith"/>
    <s v="Marshall"/>
    <s v="India "/>
    <x v="3"/>
    <x v="3"/>
    <s v="11 00 07"/>
    <s v="faith.marshall@gmail.com"/>
    <x v="4"/>
    <n v="4797"/>
    <x v="22"/>
    <d v="2020-01-02T00:00:00"/>
    <n v="3"/>
    <n v="38980"/>
    <x v="0"/>
  </r>
  <r>
    <n v="12739"/>
    <s v="Grace"/>
    <s v="Ross"/>
    <s v="India "/>
    <x v="3"/>
    <x v="3"/>
    <s v="11 00 07"/>
    <s v="grace.ross@gmail.com"/>
    <x v="0"/>
    <n v="5049"/>
    <x v="22"/>
    <d v="2020-01-04T00:00:00"/>
    <n v="6"/>
    <n v="66989"/>
    <x v="0"/>
  </r>
  <r>
    <n v="23291"/>
    <s v="Diana"/>
    <s v="MacDonald"/>
    <s v="India "/>
    <x v="0"/>
    <x v="0"/>
    <s v="81 31 08"/>
    <s v="diana.macdonald@gmail.com"/>
    <x v="1"/>
    <n v="5285"/>
    <x v="22"/>
    <d v="2020-01-09T00:00:00"/>
    <n v="10"/>
    <n v="34690"/>
    <x v="0"/>
  </r>
  <r>
    <n v="24653"/>
    <s v="Alexander"/>
    <s v="Randall"/>
    <s v="India "/>
    <x v="1"/>
    <x v="1"/>
    <s v="60 50 01"/>
    <s v="alexander.randall@gmail.com"/>
    <x v="3"/>
    <n v="5079"/>
    <x v="23"/>
    <d v="2020-02-04T00:00:00"/>
    <n v="8"/>
    <n v="36990"/>
    <x v="0"/>
  </r>
  <r>
    <n v="17921"/>
    <s v="Evan"/>
    <s v="Chapman"/>
    <s v="India "/>
    <x v="0"/>
    <x v="0"/>
    <s v="81 31 08"/>
    <s v="evan.chapman@gmail.com"/>
    <x v="0"/>
    <n v="5055"/>
    <x v="23"/>
    <d v="2020-02-04T00:00:00"/>
    <n v="5"/>
    <n v="66989"/>
    <x v="0"/>
  </r>
  <r>
    <n v="21448"/>
    <s v="Abigail"/>
    <s v="Hart"/>
    <s v="India "/>
    <x v="2"/>
    <x v="2"/>
    <s v="38 84 21"/>
    <s v="abigail.hart@gmail.com"/>
    <x v="4"/>
    <n v="5408"/>
    <x v="24"/>
    <d v="2020-03-15T00:00:00"/>
    <n v="7"/>
    <n v="38980"/>
    <x v="0"/>
  </r>
  <r>
    <n v="25059"/>
    <s v="Ava"/>
    <s v="Paige"/>
    <s v="India "/>
    <x v="2"/>
    <x v="2"/>
    <s v="38 84 21"/>
    <s v="ava.paige@gmail.com"/>
    <x v="2"/>
    <n v="5281"/>
    <x v="23"/>
    <d v="2020-02-03T00:00:00"/>
    <n v="9"/>
    <n v="57999"/>
    <x v="0"/>
  </r>
  <r>
    <n v="22391"/>
    <s v="Michael"/>
    <s v="Edmunds"/>
    <s v="India "/>
    <x v="3"/>
    <x v="3"/>
    <s v="11 00 07"/>
    <s v="michael.edmunds@gmail.com"/>
    <x v="3"/>
    <n v="4589"/>
    <x v="25"/>
    <d v="2020-04-02T00:00:00"/>
    <n v="9"/>
    <n v="36990"/>
    <x v="0"/>
  </r>
  <r>
    <n v="16185"/>
    <s v="Neil"/>
    <s v="Gibson"/>
    <s v="India "/>
    <x v="0"/>
    <x v="0"/>
    <s v="81 31 08"/>
    <s v="neil.gibson@gmail.com"/>
    <x v="4"/>
    <n v="5444"/>
    <x v="26"/>
    <d v="2020-06-08T00:00:00"/>
    <n v="4"/>
    <n v="38980"/>
    <x v="0"/>
  </r>
  <r>
    <n v="14415"/>
    <s v="Grace"/>
    <s v="Henderson"/>
    <s v="India "/>
    <x v="1"/>
    <x v="1"/>
    <s v="60 50 01"/>
    <s v="grace.henderson@gmail.com"/>
    <x v="0"/>
    <n v="4963"/>
    <x v="27"/>
    <d v="2020-03-23T00:00:00"/>
    <n v="7"/>
    <n v="66989"/>
    <x v="0"/>
  </r>
  <r>
    <n v="24735"/>
    <s v="Gavin"/>
    <s v="Peake"/>
    <s v="India "/>
    <x v="0"/>
    <x v="0"/>
    <s v="81 31 08"/>
    <s v="gavin.peake@gmail.com"/>
    <x v="2"/>
    <n v="4642"/>
    <x v="27"/>
    <d v="2020-03-25T00:00:00"/>
    <n v="2"/>
    <n v="57999"/>
    <x v="0"/>
  </r>
  <r>
    <n v="17783"/>
    <s v="Rose"/>
    <s v="MacLeod"/>
    <s v="India "/>
    <x v="2"/>
    <x v="2"/>
    <s v="38 84 21"/>
    <s v="rose.macleod@gmail.com"/>
    <x v="4"/>
    <n v="5096"/>
    <x v="28"/>
    <d v="2020-05-18T00:00:00"/>
    <n v="6"/>
    <n v="38980"/>
    <x v="0"/>
  </r>
  <r>
    <n v="24194"/>
    <s v="Irene"/>
    <s v="Alsop"/>
    <s v="India "/>
    <x v="2"/>
    <x v="2"/>
    <s v="38 84 21"/>
    <s v="irene.alsop@gmail.com"/>
    <x v="0"/>
    <n v="5009"/>
    <x v="29"/>
    <d v="2020-02-20T00:00:00"/>
    <n v="9"/>
    <n v="66989"/>
    <x v="0"/>
  </r>
  <r>
    <n v="13714"/>
    <s v="Elizabeth"/>
    <s v="Wright"/>
    <s v="India "/>
    <x v="3"/>
    <x v="3"/>
    <s v="11 00 07"/>
    <s v="elizabeth.wright@gmail.com"/>
    <x v="1"/>
    <n v="5315"/>
    <x v="30"/>
    <d v="2020-03-06T00:00:00"/>
    <n v="5"/>
    <n v="34690"/>
    <x v="0"/>
  </r>
  <r>
    <n v="13372"/>
    <s v="Nicola"/>
    <s v="Paterson"/>
    <s v="India "/>
    <x v="0"/>
    <x v="0"/>
    <s v="81 31 08"/>
    <s v="nicola.paterson@gmail.com"/>
    <x v="0"/>
    <n v="5206"/>
    <x v="28"/>
    <d v="2020-05-19T00:00:00"/>
    <n v="10"/>
    <n v="66989"/>
    <x v="0"/>
  </r>
  <r>
    <n v="22885"/>
    <s v="Katherine"/>
    <s v="Scott"/>
    <s v="India "/>
    <x v="3"/>
    <x v="3"/>
    <s v="11 00 07"/>
    <s v="katherine.scott@gmail.com"/>
    <x v="1"/>
    <n v="5452"/>
    <x v="28"/>
    <d v="2020-05-18T00:00:00"/>
    <n v="7"/>
    <n v="34690"/>
    <x v="0"/>
  </r>
  <r>
    <n v="20216"/>
    <s v="Gordon"/>
    <s v="Ince"/>
    <s v="India "/>
    <x v="0"/>
    <x v="0"/>
    <s v="81 31 08"/>
    <s v="gordon.ince@gmail.com"/>
    <x v="2"/>
    <n v="5175"/>
    <x v="31"/>
    <d v="2020-06-09T00:00:00"/>
    <n v="6"/>
    <n v="57999"/>
    <x v="0"/>
  </r>
  <r>
    <n v="21869"/>
    <s v="Frank"/>
    <s v="Young"/>
    <s v="India "/>
    <x v="1"/>
    <x v="1"/>
    <s v="60 50 01"/>
    <s v="frank.young@gmail.com"/>
    <x v="3"/>
    <n v="5214"/>
    <x v="32"/>
    <d v="2020-05-05T00:00:00"/>
    <n v="1"/>
    <n v="36990"/>
    <x v="0"/>
  </r>
  <r>
    <n v="13383"/>
    <s v="Ian"/>
    <s v="Morrison"/>
    <s v="India "/>
    <x v="0"/>
    <x v="0"/>
    <s v="81 31 08"/>
    <s v="ian.morrison@gmail.com"/>
    <x v="4"/>
    <n v="4737"/>
    <x v="32"/>
    <d v="2020-05-05T00:00:00"/>
    <n v="2"/>
    <n v="38980"/>
    <x v="0"/>
  </r>
  <r>
    <n v="16271"/>
    <s v="Amanda"/>
    <s v="May"/>
    <s v="India "/>
    <x v="2"/>
    <x v="2"/>
    <s v="38 84 21"/>
    <s v="amanda.may@gmail.com"/>
    <x v="0"/>
    <n v="5479"/>
    <x v="32"/>
    <d v="2020-05-05T00:00:00"/>
    <n v="1"/>
    <n v="66989"/>
    <x v="0"/>
  </r>
  <r>
    <n v="24890"/>
    <s v="Luke"/>
    <s v="Lawrence"/>
    <s v="India "/>
    <x v="0"/>
    <x v="0"/>
    <s v="81 31 08"/>
    <s v="luke.lawrence@gmail.com"/>
    <x v="2"/>
    <n v="4867"/>
    <x v="32"/>
    <d v="2020-05-04T00:00:00"/>
    <n v="5"/>
    <n v="57999"/>
    <x v="0"/>
  </r>
  <r>
    <n v="21597"/>
    <s v="Maria"/>
    <s v="Hamilton"/>
    <s v="India "/>
    <x v="1"/>
    <x v="1"/>
    <s v="60 50 01"/>
    <s v="maria.hamilton@gmail.com"/>
    <x v="4"/>
    <n v="5068"/>
    <x v="33"/>
    <d v="2020-06-24T00:00:00"/>
    <n v="6"/>
    <n v="38980"/>
    <x v="0"/>
  </r>
  <r>
    <n v="23397"/>
    <s v="Blake"/>
    <s v="Carr"/>
    <s v="India "/>
    <x v="0"/>
    <x v="0"/>
    <s v="81 31 08"/>
    <s v="blake.carr@gmail.com"/>
    <x v="0"/>
    <n v="5256"/>
    <x v="34"/>
    <d v="2020-04-07T00:00:00"/>
    <n v="2"/>
    <n v="66989"/>
    <x v="0"/>
  </r>
  <r>
    <n v="19335"/>
    <s v="Carol"/>
    <s v="Brown"/>
    <s v="India "/>
    <x v="2"/>
    <x v="2"/>
    <s v="38 84 21"/>
    <s v="carol.brown@gmail.com"/>
    <x v="1"/>
    <n v="5125"/>
    <x v="33"/>
    <d v="2020-06-24T00:00:00"/>
    <n v="8"/>
    <n v="34690"/>
    <x v="0"/>
  </r>
  <r>
    <n v="20975"/>
    <s v="Karen"/>
    <s v="Mackay"/>
    <s v="India "/>
    <x v="2"/>
    <x v="2"/>
    <s v="38 84 21"/>
    <s v="karen.mackay@gmail.com"/>
    <x v="3"/>
    <n v="5338"/>
    <x v="33"/>
    <d v="2020-06-23T00:00:00"/>
    <n v="10"/>
    <n v="36990"/>
    <x v="0"/>
  </r>
  <r>
    <n v="16939"/>
    <s v="James"/>
    <s v="McGrath"/>
    <s v="India "/>
    <x v="2"/>
    <x v="2"/>
    <s v="38 84 21"/>
    <s v="james.mcgrath@gmail.com"/>
    <x v="0"/>
    <n v="5040"/>
    <x v="34"/>
    <d v="2020-04-07T00:00:00"/>
    <n v="2"/>
    <n v="66989"/>
    <x v="0"/>
  </r>
  <r>
    <n v="23348"/>
    <s v="Heather"/>
    <s v="Gill"/>
    <s v="India "/>
    <x v="2"/>
    <x v="2"/>
    <s v="38 84 21"/>
    <s v="heather.gill@gmail.com"/>
    <x v="4"/>
    <n v="4667"/>
    <x v="33"/>
    <d v="2020-06-23T00:00:00"/>
    <n v="9"/>
    <n v="38980"/>
    <x v="0"/>
  </r>
  <r>
    <n v="20490"/>
    <s v="Stephen"/>
    <s v="James"/>
    <s v="India "/>
    <x v="3"/>
    <x v="3"/>
    <s v="11 00 07"/>
    <s v="stephen.james@gmail.com"/>
    <x v="3"/>
    <n v="4830"/>
    <x v="35"/>
    <d v="2020-01-04T00:00:00"/>
    <n v="5"/>
    <n v="36990"/>
    <x v="0"/>
  </r>
  <r>
    <n v="18819"/>
    <s v="William"/>
    <s v="Churchill"/>
    <s v="India "/>
    <x v="0"/>
    <x v="0"/>
    <s v="81 31 08"/>
    <s v="william.churchill@gmail.com"/>
    <x v="4"/>
    <n v="5114"/>
    <x v="36"/>
    <d v="2020-04-06T00:00:00"/>
    <n v="1"/>
    <n v="38980"/>
    <x v="0"/>
  </r>
  <r>
    <n v="19323"/>
    <s v="Stewart"/>
    <s v="Wallace"/>
    <s v="India "/>
    <x v="1"/>
    <x v="1"/>
    <s v="60 50 01"/>
    <s v="stewart.wallace@gmail.com"/>
    <x v="0"/>
    <n v="5514"/>
    <x v="36"/>
    <d v="2020-04-06T00:00:00"/>
    <n v="2"/>
    <n v="66989"/>
    <x v="0"/>
  </r>
  <r>
    <n v="20300"/>
    <s v="Pippa"/>
    <s v="Bell"/>
    <s v="India "/>
    <x v="0"/>
    <x v="0"/>
    <s v="81 31 08"/>
    <s v="pippa.bell@gmail.com"/>
    <x v="2"/>
    <n v="5452"/>
    <x v="37"/>
    <d v="2020-04-11T00:00:00"/>
    <n v="8"/>
    <n v="57999"/>
    <x v="0"/>
  </r>
  <r>
    <n v="13476"/>
    <s v="Elizabeth"/>
    <s v="Ince"/>
    <s v="India "/>
    <x v="2"/>
    <x v="2"/>
    <s v="38 84 21"/>
    <s v="elizabeth.ince@gmail.com"/>
    <x v="4"/>
    <n v="5171"/>
    <x v="35"/>
    <d v="2020-01-04T00:00:00"/>
    <n v="9"/>
    <n v="38980"/>
    <x v="0"/>
  </r>
  <r>
    <n v="13736"/>
    <s v="Joanne"/>
    <s v="Ferguson"/>
    <s v="India "/>
    <x v="2"/>
    <x v="2"/>
    <s v="38 84 21"/>
    <s v="joanne.ferguson@gmail.com"/>
    <x v="0"/>
    <n v="5048"/>
    <x v="36"/>
    <d v="2020-04-06T00:00:00"/>
    <n v="1"/>
    <n v="66989"/>
    <x v="0"/>
  </r>
  <r>
    <n v="21045"/>
    <s v="Adrian"/>
    <s v="King"/>
    <s v="India "/>
    <x v="3"/>
    <x v="3"/>
    <s v="11 00 07"/>
    <s v="adrian.king@gmail.com"/>
    <x v="1"/>
    <n v="5295"/>
    <x v="36"/>
    <d v="2020-04-06T00:00:00"/>
    <n v="4"/>
    <n v="34690"/>
    <x v="0"/>
  </r>
  <r>
    <n v="12634"/>
    <s v="William"/>
    <s v="Edmunds"/>
    <s v="India "/>
    <x v="0"/>
    <x v="0"/>
    <s v="81 31 08"/>
    <s v="william.edmunds@gmail.com"/>
    <x v="3"/>
    <n v="5522"/>
    <x v="37"/>
    <d v="2020-04-11T00:00:00"/>
    <n v="3"/>
    <n v="36990"/>
    <x v="0"/>
  </r>
  <r>
    <n v="24312"/>
    <s v="Dominic"/>
    <s v="Hunter"/>
    <s v="India "/>
    <x v="1"/>
    <x v="1"/>
    <s v="60 50 01"/>
    <s v="dominic.hunter@gmail.com"/>
    <x v="0"/>
    <n v="4919"/>
    <x v="38"/>
    <d v="2020-01-13T00:00:00"/>
    <n v="10"/>
    <n v="66989"/>
    <x v="0"/>
  </r>
  <r>
    <n v="21441"/>
    <s v="Sally"/>
    <s v="Bell"/>
    <s v="India "/>
    <x v="0"/>
    <x v="0"/>
    <s v="81 31 08"/>
    <s v="sally.bell@gmail.com"/>
    <x v="4"/>
    <n v="5135"/>
    <x v="38"/>
    <d v="2020-01-14T00:00:00"/>
    <n v="7"/>
    <n v="38980"/>
    <x v="0"/>
  </r>
  <r>
    <n v="23641"/>
    <s v="Katherine"/>
    <s v="Nolan"/>
    <s v="India "/>
    <x v="2"/>
    <x v="2"/>
    <s v="38 84 21"/>
    <s v="katherine.nolan@gmail.com"/>
    <x v="2"/>
    <n v="4581"/>
    <x v="37"/>
    <d v="2020-04-10T00:00:00"/>
    <n v="4"/>
    <n v="57999"/>
    <x v="0"/>
  </r>
  <r>
    <n v="18810"/>
    <s v="Sean"/>
    <s v="Morgan"/>
    <s v="India "/>
    <x v="2"/>
    <x v="2"/>
    <s v="38 84 21"/>
    <s v="sean.morgan@gmail.com"/>
    <x v="3"/>
    <n v="4610"/>
    <x v="39"/>
    <d v="2020-01-28T00:00:00"/>
    <n v="7"/>
    <n v="36990"/>
    <x v="0"/>
  </r>
  <r>
    <n v="17451"/>
    <s v="Heather"/>
    <s v="Dickens"/>
    <s v="India "/>
    <x v="2"/>
    <x v="2"/>
    <s v="38 84 21"/>
    <s v="heather.dickens@gmail.com"/>
    <x v="4"/>
    <n v="5046"/>
    <x v="40"/>
    <d v="2020-05-26T00:00:00"/>
    <n v="1"/>
    <n v="38980"/>
    <x v="0"/>
  </r>
  <r>
    <n v="12577"/>
    <s v="Piers"/>
    <s v="Ellison"/>
    <s v="India "/>
    <x v="3"/>
    <x v="3"/>
    <s v="11 00 07"/>
    <s v="piers.ellison@gmail.com"/>
    <x v="0"/>
    <n v="4532"/>
    <x v="41"/>
    <d v="2020-05-17T00:00:00"/>
    <n v="10"/>
    <n v="66989"/>
    <x v="0"/>
  </r>
  <r>
    <n v="12798"/>
    <s v="Tim"/>
    <s v="MacDonald"/>
    <s v="India "/>
    <x v="2"/>
    <x v="2"/>
    <s v="38 84 21"/>
    <s v="tim.macdonald@gmail.com"/>
    <x v="2"/>
    <n v="4603"/>
    <x v="41"/>
    <d v="2020-05-17T00:00:00"/>
    <n v="2"/>
    <n v="57999"/>
    <x v="0"/>
  </r>
  <r>
    <n v="25430"/>
    <s v="Victoria"/>
    <s v="Hughes"/>
    <s v="India "/>
    <x v="2"/>
    <x v="2"/>
    <s v="38 84 21"/>
    <s v="victoria.hughes@gmail.com"/>
    <x v="4"/>
    <n v="4728"/>
    <x v="42"/>
    <d v="2020-06-03T00:00:00"/>
    <n v="7"/>
    <n v="38980"/>
    <x v="0"/>
  </r>
  <r>
    <n v="12724"/>
    <s v="Emily"/>
    <s v="Metcalfe"/>
    <s v="India "/>
    <x v="3"/>
    <x v="3"/>
    <s v="11 00 07"/>
    <s v="emily.metcalfe@gmail.com"/>
    <x v="0"/>
    <n v="5430"/>
    <x v="42"/>
    <d v="2020-06-03T00:00:00"/>
    <n v="8"/>
    <n v="66989"/>
    <x v="0"/>
  </r>
  <r>
    <n v="24157"/>
    <s v="Julian"/>
    <s v="Morrison"/>
    <s v="India "/>
    <x v="3"/>
    <x v="3"/>
    <s v="11 00 07"/>
    <s v="julian.morrison@gmail.com"/>
    <x v="1"/>
    <n v="4551"/>
    <x v="43"/>
    <d v="2020-01-17T00:00:00"/>
    <n v="9"/>
    <n v="34690"/>
    <x v="0"/>
  </r>
  <r>
    <n v="14113"/>
    <s v="Angela"/>
    <s v="McDonald"/>
    <s v="India "/>
    <x v="0"/>
    <x v="0"/>
    <s v="81 31 08"/>
    <s v="angela.mcdonald@gmail.com"/>
    <x v="2"/>
    <n v="4820"/>
    <x v="44"/>
    <d v="2020-03-16T00:00:00"/>
    <n v="6"/>
    <n v="57999"/>
    <x v="0"/>
  </r>
  <r>
    <n v="23396"/>
    <s v="Justin"/>
    <s v="Davidson"/>
    <s v="India "/>
    <x v="1"/>
    <x v="1"/>
    <s v="60 50 01"/>
    <s v="justin.davidson@gmail.com"/>
    <x v="3"/>
    <n v="5151"/>
    <x v="14"/>
    <d v="2020-03-13T00:00:00"/>
    <n v="2"/>
    <n v="36990"/>
    <x v="0"/>
  </r>
  <r>
    <n v="24764"/>
    <s v="Lisa"/>
    <s v="Wilkins"/>
    <s v="India "/>
    <x v="0"/>
    <x v="0"/>
    <s v="81 31 08"/>
    <s v="lisa.wilkins@gmail.com"/>
    <x v="4"/>
    <n v="5291"/>
    <x v="45"/>
    <d v="2020-04-24T00:00:00"/>
    <n v="9"/>
    <n v="38980"/>
    <x v="0"/>
  </r>
  <r>
    <n v="16363"/>
    <s v="William"/>
    <s v="Knox"/>
    <s v="India "/>
    <x v="2"/>
    <x v="2"/>
    <s v="38 84 21"/>
    <s v="william.knox@gmail.com"/>
    <x v="0"/>
    <n v="5516"/>
    <x v="46"/>
    <d v="2020-01-23T00:00:00"/>
    <n v="8"/>
    <n v="66989"/>
    <x v="0"/>
  </r>
  <r>
    <n v="21495"/>
    <s v="Bernadette"/>
    <s v="Fisher"/>
    <s v="India "/>
    <x v="2"/>
    <x v="2"/>
    <s v="38 84 21"/>
    <s v="bernadette.fisher@gmail.com"/>
    <x v="2"/>
    <n v="4666"/>
    <x v="18"/>
    <d v="2020-04-22T00:00:00"/>
    <n v="1"/>
    <n v="57999"/>
    <x v="0"/>
  </r>
  <r>
    <n v="13403"/>
    <s v="Thomas"/>
    <s v="Hart"/>
    <s v="India "/>
    <x v="3"/>
    <x v="3"/>
    <s v="11 00 07"/>
    <s v="thomas.hart@gmail.com"/>
    <x v="4"/>
    <n v="5487"/>
    <x v="43"/>
    <d v="2020-01-16T00:00:00"/>
    <n v="4"/>
    <n v="38980"/>
    <x v="0"/>
  </r>
  <r>
    <n v="18531"/>
    <s v="Theresa"/>
    <s v="Mackenzie"/>
    <s v="India "/>
    <x v="0"/>
    <x v="0"/>
    <s v="81 31 08"/>
    <s v="theresa.mackenzie@gmail.com"/>
    <x v="0"/>
    <n v="5456"/>
    <x v="47"/>
    <d v="2020-04-26T00:00:00"/>
    <n v="1"/>
    <n v="66989"/>
    <x v="0"/>
  </r>
  <r>
    <n v="25372"/>
    <s v="Karen"/>
    <s v="Smith"/>
    <s v="India "/>
    <x v="2"/>
    <x v="2"/>
    <s v="38 84 21"/>
    <s v="karen.smith@gmail.com"/>
    <x v="1"/>
    <n v="5466"/>
    <x v="48"/>
    <d v="2020-04-01T00:00:00"/>
    <n v="2"/>
    <n v="34690"/>
    <x v="0"/>
  </r>
  <r>
    <n v="13197"/>
    <s v="Phil"/>
    <s v="Lyman"/>
    <s v="India "/>
    <x v="3"/>
    <x v="3"/>
    <s v="11 00 07"/>
    <s v="phil.lyman@gmail.com"/>
    <x v="3"/>
    <n v="5037"/>
    <x v="49"/>
    <d v="2020-06-22T00:00:00"/>
    <n v="10"/>
    <n v="36990"/>
    <x v="0"/>
  </r>
  <r>
    <n v="23028"/>
    <s v="James"/>
    <s v="Kerr"/>
    <s v="India "/>
    <x v="0"/>
    <x v="0"/>
    <s v="81 31 08"/>
    <s v="james.kerr@gmail.com"/>
    <x v="0"/>
    <n v="4966"/>
    <x v="50"/>
    <d v="2020-05-15T00:00:00"/>
    <n v="4"/>
    <n v="66989"/>
    <x v="0"/>
  </r>
  <r>
    <n v="20703"/>
    <s v="Zoe"/>
    <s v="Dickens"/>
    <s v="India "/>
    <x v="3"/>
    <x v="3"/>
    <s v="11 00 07"/>
    <s v="zoe.dickens@gmail.com"/>
    <x v="4"/>
    <n v="5446"/>
    <x v="51"/>
    <d v="2020-01-26T00:00:00"/>
    <n v="9"/>
    <n v="38980"/>
    <x v="0"/>
  </r>
  <r>
    <n v="19490"/>
    <s v="Abigail"/>
    <s v="Jones"/>
    <s v="India "/>
    <x v="0"/>
    <x v="0"/>
    <s v="81 31 08"/>
    <s v="abigail.jones@gmail.com"/>
    <x v="2"/>
    <n v="5084"/>
    <x v="22"/>
    <d v="2020-01-04T00:00:00"/>
    <n v="2"/>
    <n v="57999"/>
    <x v="0"/>
  </r>
  <r>
    <n v="16082"/>
    <s v="Joe"/>
    <s v="Mills"/>
    <s v="India "/>
    <x v="1"/>
    <x v="1"/>
    <s v="60 50 01"/>
    <s v="joe.mills@gmail.com"/>
    <x v="3"/>
    <n v="4818"/>
    <x v="22"/>
    <d v="2020-01-03T00:00:00"/>
    <n v="8"/>
    <n v="36990"/>
    <x v="0"/>
  </r>
  <r>
    <n v="22531"/>
    <s v="Gabrielle"/>
    <s v="Cameron"/>
    <s v="India "/>
    <x v="0"/>
    <x v="0"/>
    <s v="81 31 08"/>
    <s v="gabrielle.cameron@gmail.com"/>
    <x v="4"/>
    <n v="5448"/>
    <x v="52"/>
    <d v="2020-01-18T00:00:00"/>
    <n v="9"/>
    <n v="38980"/>
    <x v="0"/>
  </r>
  <r>
    <n v="19272"/>
    <s v="Madeleine"/>
    <s v="Lee"/>
    <s v="India "/>
    <x v="2"/>
    <x v="2"/>
    <s v="38 84 21"/>
    <s v="madeleine.lee@gmail.com"/>
    <x v="0"/>
    <n v="4985"/>
    <x v="35"/>
    <d v="2020-01-05T00:00:00"/>
    <n v="4"/>
    <n v="66989"/>
    <x v="0"/>
  </r>
  <r>
    <n v="12635"/>
    <s v="Andrew"/>
    <s v="Davidson"/>
    <s v="India "/>
    <x v="0"/>
    <x v="0"/>
    <s v="81 31 08"/>
    <s v="andrew.davidson@gmail.com"/>
    <x v="2"/>
    <n v="4649"/>
    <x v="35"/>
    <d v="2020-01-10T00:00:00"/>
    <n v="6"/>
    <n v="57999"/>
    <x v="0"/>
  </r>
  <r>
    <n v="16673"/>
    <s v="Fiona"/>
    <s v="Hart"/>
    <s v="India "/>
    <x v="1"/>
    <x v="1"/>
    <s v="60 50 01"/>
    <s v="fiona.hart@gmail.com"/>
    <x v="4"/>
    <n v="5051"/>
    <x v="35"/>
    <d v="2020-01-07T00:00:00"/>
    <n v="1"/>
    <n v="38980"/>
    <x v="0"/>
  </r>
  <r>
    <n v="20570"/>
    <s v="Justin"/>
    <s v="Cornish"/>
    <s v="India "/>
    <x v="0"/>
    <x v="0"/>
    <s v="81 31 08"/>
    <s v="justin.cornish@gmail.com"/>
    <x v="0"/>
    <n v="5498"/>
    <x v="53"/>
    <d v="2020-04-15T00:00:00"/>
    <n v="10"/>
    <n v="66989"/>
    <x v="0"/>
  </r>
  <r>
    <n v="15753"/>
    <s v="Amelia"/>
    <s v="Sutherland"/>
    <s v="India "/>
    <x v="2"/>
    <x v="2"/>
    <s v="38 84 21"/>
    <s v="amelia.sutherland@gmail.com"/>
    <x v="1"/>
    <n v="5389"/>
    <x v="54"/>
    <d v="2020-02-21T00:00:00"/>
    <n v="4"/>
    <n v="34690"/>
    <x v="0"/>
  </r>
  <r>
    <n v="14562"/>
    <s v="Jennifer"/>
    <s v="Robertson"/>
    <s v="India "/>
    <x v="2"/>
    <x v="2"/>
    <s v="38 84 21"/>
    <s v="jennifer.robertson@gmail.com"/>
    <x v="0"/>
    <n v="5398"/>
    <x v="55"/>
    <d v="2020-05-23T00:00:00"/>
    <n v="1"/>
    <n v="66989"/>
    <x v="0"/>
  </r>
  <r>
    <n v="21554"/>
    <s v="Zoe"/>
    <s v="Hart"/>
    <s v="India "/>
    <x v="2"/>
    <x v="2"/>
    <s v="38 84 21"/>
    <s v="zoe.hart@gmail.com"/>
    <x v="1"/>
    <n v="5511"/>
    <x v="54"/>
    <d v="2020-02-21T00:00:00"/>
    <n v="8"/>
    <n v="34690"/>
    <x v="0"/>
  </r>
  <r>
    <n v="23965"/>
    <s v="Owen"/>
    <s v="Rees"/>
    <s v="India "/>
    <x v="2"/>
    <x v="2"/>
    <s v="38 84 21"/>
    <s v="owen.rees@gmail.com"/>
    <x v="2"/>
    <n v="5516"/>
    <x v="55"/>
    <d v="2020-05-22T00:00:00"/>
    <n v="8"/>
    <n v="57999"/>
    <x v="0"/>
  </r>
  <r>
    <n v="12632"/>
    <s v="Dylan"/>
    <s v="Baker"/>
    <s v="India "/>
    <x v="3"/>
    <x v="3"/>
    <s v="11 00 07"/>
    <s v="dylan.baker@gmail.com"/>
    <x v="3"/>
    <n v="5050"/>
    <x v="55"/>
    <d v="2020-05-23T00:00:00"/>
    <n v="1"/>
    <n v="36990"/>
    <x v="0"/>
  </r>
  <r>
    <n v="22789"/>
    <s v="Yvonne"/>
    <s v="Simpson"/>
    <s v="India "/>
    <x v="0"/>
    <x v="0"/>
    <s v="81 31 08"/>
    <s v="yvonne.simpson@gmail.com"/>
    <x v="4"/>
    <n v="4945"/>
    <x v="6"/>
    <d v="2020-02-13T00:00:00"/>
    <n v="4"/>
    <n v="38980"/>
    <x v="0"/>
  </r>
  <r>
    <n v="24622"/>
    <s v="Mary"/>
    <s v="Oliver"/>
    <s v="India "/>
    <x v="1"/>
    <x v="1"/>
    <s v="60 50 01"/>
    <s v="mary.oliver@gmail.com"/>
    <x v="0"/>
    <n v="5029"/>
    <x v="6"/>
    <d v="2020-02-15T00:00:00"/>
    <n v="1"/>
    <n v="66989"/>
    <x v="0"/>
  </r>
  <r>
    <n v="15205"/>
    <s v="Owen"/>
    <s v="Wilkins"/>
    <s v="India "/>
    <x v="0"/>
    <x v="0"/>
    <s v="81 31 08"/>
    <s v="owen.wilkins@gmail.com"/>
    <x v="2"/>
    <n v="5344"/>
    <x v="37"/>
    <d v="2020-04-11T00:00:00"/>
    <n v="2"/>
    <n v="57999"/>
    <x v="0"/>
  </r>
  <r>
    <n v="23895"/>
    <s v="Donna"/>
    <s v="Abraham"/>
    <s v="India "/>
    <x v="2"/>
    <x v="2"/>
    <s v="38 84 21"/>
    <s v="donna.abraham@gmail.com"/>
    <x v="4"/>
    <n v="4657"/>
    <x v="37"/>
    <d v="2020-04-09T00:00:00"/>
    <n v="3"/>
    <n v="38980"/>
    <x v="0"/>
  </r>
  <r>
    <n v="21302"/>
    <s v="Donna"/>
    <s v="Peters"/>
    <s v="India "/>
    <x v="2"/>
    <x v="2"/>
    <s v="38 84 21"/>
    <s v="donna.peters@gmail.com"/>
    <x v="0"/>
    <n v="4593"/>
    <x v="37"/>
    <d v="2020-04-10T00:00:00"/>
    <n v="3"/>
    <n v="66989"/>
    <x v="0"/>
  </r>
  <r>
    <n v="15081"/>
    <s v="Matt"/>
    <s v="Paige"/>
    <s v="India "/>
    <x v="3"/>
    <x v="3"/>
    <s v="11 00 07"/>
    <s v="matt.paige@gmail.com"/>
    <x v="1"/>
    <n v="5222"/>
    <x v="35"/>
    <d v="2020-01-05T00:00:00"/>
    <n v="6"/>
    <n v="34690"/>
    <x v="0"/>
  </r>
  <r>
    <n v="21533"/>
    <s v="Carolyn"/>
    <s v="Parsons"/>
    <s v="India "/>
    <x v="0"/>
    <x v="0"/>
    <s v="81 31 08"/>
    <s v="carolyn.parsons@gmail.com"/>
    <x v="3"/>
    <n v="4830"/>
    <x v="25"/>
    <d v="2020-04-01T00:00:00"/>
    <n v="10"/>
    <n v="36990"/>
    <x v="0"/>
  </r>
  <r>
    <n v="13184"/>
    <s v="Irene"/>
    <s v="McLean"/>
    <s v="India "/>
    <x v="1"/>
    <x v="1"/>
    <s v="60 50 01"/>
    <s v="irene.mclean@gmail.com"/>
    <x v="0"/>
    <n v="5363"/>
    <x v="56"/>
    <d v="2020-01-11T00:00:00"/>
    <n v="6"/>
    <n v="66989"/>
    <x v="0"/>
  </r>
  <r>
    <n v="20429"/>
    <s v="Bernadette"/>
    <s v="Hart"/>
    <s v="India "/>
    <x v="0"/>
    <x v="0"/>
    <s v="81 31 08"/>
    <s v="bernadette.hart@gmail.com"/>
    <x v="4"/>
    <n v="4978"/>
    <x v="25"/>
    <d v="2020-04-01T00:00:00"/>
    <n v="8"/>
    <n v="38980"/>
    <x v="0"/>
  </r>
  <r>
    <n v="23700"/>
    <s v="Andrea"/>
    <s v="Chapman"/>
    <s v="India "/>
    <x v="2"/>
    <x v="2"/>
    <s v="38 84 21"/>
    <s v="andrea.chapman@gmail.com"/>
    <x v="2"/>
    <n v="4739"/>
    <x v="57"/>
    <d v="2020-04-04T00:00:00"/>
    <n v="2"/>
    <n v="57999"/>
    <x v="0"/>
  </r>
  <r>
    <n v="13461"/>
    <s v="Audrey"/>
    <s v="Allan"/>
    <s v="India "/>
    <x v="2"/>
    <x v="2"/>
    <s v="38 84 21"/>
    <s v="audrey.allan@gmail.com"/>
    <x v="3"/>
    <n v="5357"/>
    <x v="57"/>
    <d v="2020-04-04T00:00:00"/>
    <n v="10"/>
    <n v="36990"/>
    <x v="0"/>
  </r>
  <r>
    <n v="16857"/>
    <s v="Joan"/>
    <s v="Russell"/>
    <s v="India "/>
    <x v="2"/>
    <x v="2"/>
    <s v="38 84 21"/>
    <s v="joan.russell@gmail.com"/>
    <x v="4"/>
    <n v="5426"/>
    <x v="58"/>
    <d v="2020-04-28T00:00:00"/>
    <n v="4"/>
    <n v="38980"/>
    <x v="0"/>
  </r>
  <r>
    <n v="17001"/>
    <s v="Charles"/>
    <s v="Peters"/>
    <s v="India "/>
    <x v="2"/>
    <x v="2"/>
    <s v="38 84 21"/>
    <s v="charles.peters@gmail.com"/>
    <x v="0"/>
    <n v="4855"/>
    <x v="59"/>
    <d v="2020-01-18T00:00:00"/>
    <n v="1"/>
    <n v="66989"/>
    <x v="0"/>
  </r>
  <r>
    <n v="19549"/>
    <s v="Luke"/>
    <s v="Anderson"/>
    <s v="India "/>
    <x v="3"/>
    <x v="3"/>
    <s v="11 00 07"/>
    <s v="luke.anderson@gmail.com"/>
    <x v="2"/>
    <n v="4700"/>
    <x v="60"/>
    <d v="2020-01-21T00:00:00"/>
    <n v="10"/>
    <n v="57999"/>
    <x v="0"/>
  </r>
  <r>
    <n v="19239"/>
    <s v="Amelia"/>
    <s v="Peake"/>
    <s v="India "/>
    <x v="0"/>
    <x v="0"/>
    <s v="81 31 08"/>
    <s v="amelia.peake@gmail.com"/>
    <x v="4"/>
    <n v="5422"/>
    <x v="42"/>
    <d v="2020-06-02T00:00:00"/>
    <n v="2"/>
    <n v="38980"/>
    <x v="0"/>
  </r>
  <r>
    <n v="20271"/>
    <s v="Simon"/>
    <s v="Walsh"/>
    <s v="India "/>
    <x v="1"/>
    <x v="1"/>
    <s v="60 50 01"/>
    <s v="simon.walsh@gmail.com"/>
    <x v="0"/>
    <n v="5486"/>
    <x v="42"/>
    <d v="2020-06-02T00:00:00"/>
    <n v="7"/>
    <n v="66989"/>
    <x v="0"/>
  </r>
  <r>
    <n v="24004"/>
    <s v="Warren"/>
    <s v="Carr"/>
    <s v="India "/>
    <x v="0"/>
    <x v="0"/>
    <s v="81 31 08"/>
    <s v="warren.carr@gmail.com"/>
    <x v="1"/>
    <n v="5028"/>
    <x v="3"/>
    <d v="2020-05-13T00:00:00"/>
    <n v="1"/>
    <n v="34690"/>
    <x v="0"/>
  </r>
  <r>
    <n v="14473"/>
    <s v="Sam"/>
    <s v="Ince"/>
    <s v="India "/>
    <x v="2"/>
    <x v="2"/>
    <s v="38 84 21"/>
    <s v="sam.ince@gmail.com"/>
    <x v="2"/>
    <n v="5147"/>
    <x v="4"/>
    <d v="2020-04-09T00:00:00"/>
    <n v="4"/>
    <n v="57999"/>
    <x v="0"/>
  </r>
  <r>
    <n v="17625"/>
    <s v="Faith"/>
    <s v="Poole"/>
    <s v="India "/>
    <x v="2"/>
    <x v="2"/>
    <s v="38 84 21"/>
    <s v="faith.poole@gmail.com"/>
    <x v="3"/>
    <n v="4891"/>
    <x v="5"/>
    <d v="2020-05-28T00:00:00"/>
    <n v="6"/>
    <n v="36990"/>
    <x v="0"/>
  </r>
  <r>
    <n v="16631"/>
    <s v="Wendy"/>
    <s v="Tucker"/>
    <s v="India "/>
    <x v="2"/>
    <x v="2"/>
    <s v="38 84 21"/>
    <s v="wendy.tucker@gmail.com"/>
    <x v="4"/>
    <n v="4750"/>
    <x v="6"/>
    <d v="2020-02-15T00:00:00"/>
    <n v="5"/>
    <n v="38980"/>
    <x v="0"/>
  </r>
  <r>
    <n v="23556"/>
    <s v="Diana"/>
    <s v="Gibson"/>
    <s v="India "/>
    <x v="3"/>
    <x v="3"/>
    <s v="11 00 07"/>
    <s v="diana.gibson@gmail.com"/>
    <x v="0"/>
    <n v="5109"/>
    <x v="6"/>
    <d v="2020-02-14T00:00:00"/>
    <n v="7"/>
    <n v="66989"/>
    <x v="0"/>
  </r>
  <r>
    <n v="13466"/>
    <s v="Sean"/>
    <s v="Clark"/>
    <s v="India "/>
    <x v="2"/>
    <x v="2"/>
    <s v="38 84 21"/>
    <s v="sean.clark@gmail.com"/>
    <x v="2"/>
    <n v="5201"/>
    <x v="7"/>
    <d v="2020-05-16T00:00:00"/>
    <n v="8"/>
    <n v="57999"/>
    <x v="0"/>
  </r>
  <r>
    <n v="19788"/>
    <s v="Tracey"/>
    <s v="McDonald"/>
    <s v="India "/>
    <x v="2"/>
    <x v="2"/>
    <s v="38 84 21"/>
    <s v="tracey.mcdonald@gmail.com"/>
    <x v="3"/>
    <n v="4984"/>
    <x v="8"/>
    <d v="2020-05-23T00:00:00"/>
    <n v="10"/>
    <n v="36990"/>
    <x v="0"/>
  </r>
  <r>
    <n v="16651"/>
    <s v="Jan"/>
    <s v="Randall"/>
    <s v="India "/>
    <x v="3"/>
    <x v="3"/>
    <s v="11 00 07"/>
    <s v="jan.randall@gmail.com"/>
    <x v="4"/>
    <n v="4719"/>
    <x v="7"/>
    <d v="2020-05-16T00:00:00"/>
    <n v="4"/>
    <n v="38980"/>
    <x v="0"/>
  </r>
  <r>
    <n v="25676"/>
    <s v="Brandon"/>
    <s v="Underwood"/>
    <s v="India "/>
    <x v="3"/>
    <x v="3"/>
    <s v="11 00 07"/>
    <s v="brandon.underwood@gmail.com"/>
    <x v="0"/>
    <n v="5020"/>
    <x v="8"/>
    <d v="2020-05-22T00:00:00"/>
    <n v="10"/>
    <n v="66989"/>
    <x v="0"/>
  </r>
  <r>
    <n v="24035"/>
    <s v="Diane"/>
    <s v="Mitchell"/>
    <s v="India "/>
    <x v="0"/>
    <x v="0"/>
    <s v="81 31 08"/>
    <s v="diane.mitchell@gmail.com"/>
    <x v="2"/>
    <n v="5052"/>
    <x v="8"/>
    <d v="2020-05-23T00:00:00"/>
    <n v="6"/>
    <n v="57999"/>
    <x v="0"/>
  </r>
  <r>
    <n v="21797"/>
    <s v="Alison"/>
    <s v="Cornish"/>
    <s v="India "/>
    <x v="1"/>
    <x v="1"/>
    <s v="60 50 01"/>
    <s v="alison.cornish@gmail.com"/>
    <x v="4"/>
    <n v="5467"/>
    <x v="9"/>
    <d v="2020-01-29T00:00:00"/>
    <n v="2"/>
    <n v="38980"/>
    <x v="0"/>
  </r>
  <r>
    <n v="23111"/>
    <s v="Keith"/>
    <s v="Hughes"/>
    <s v="India "/>
    <x v="0"/>
    <x v="0"/>
    <s v="81 31 08"/>
    <s v="keith.hughes@gmail.com"/>
    <x v="0"/>
    <n v="5474"/>
    <x v="9"/>
    <d v="2020-01-30T00:00:00"/>
    <n v="3"/>
    <n v="66989"/>
    <x v="0"/>
  </r>
  <r>
    <n v="14585"/>
    <s v="Evan"/>
    <s v="Rees"/>
    <s v="India "/>
    <x v="2"/>
    <x v="2"/>
    <s v="38 84 21"/>
    <s v="evan.rees@gmail.com"/>
    <x v="1"/>
    <n v="4939"/>
    <x v="10"/>
    <d v="2020-05-04T00:00:00"/>
    <n v="2"/>
    <n v="34690"/>
    <x v="0"/>
  </r>
  <r>
    <n v="16268"/>
    <s v="Lillian"/>
    <s v="Parr"/>
    <s v="India "/>
    <x v="2"/>
    <x v="2"/>
    <s v="38 84 21"/>
    <s v="lillian.parr@gmail.com"/>
    <x v="3"/>
    <n v="4609"/>
    <x v="11"/>
    <d v="2020-02-23T00:00:00"/>
    <n v="5"/>
    <n v="36990"/>
    <x v="0"/>
  </r>
  <r>
    <n v="13669"/>
    <s v="Simon"/>
    <s v="Morgan"/>
    <s v="India "/>
    <x v="3"/>
    <x v="3"/>
    <s v="11 00 07"/>
    <s v="simon.morgan@gmail.com"/>
    <x v="0"/>
    <n v="4756"/>
    <x v="12"/>
    <d v="2020-03-28T00:00:00"/>
    <n v="6"/>
    <n v="66989"/>
    <x v="0"/>
  </r>
  <r>
    <n v="14014"/>
    <s v="Donna"/>
    <s v="Lawrence"/>
    <s v="India "/>
    <x v="0"/>
    <x v="0"/>
    <s v="81 31 08"/>
    <s v="donna.lawrence@gmail.com"/>
    <x v="4"/>
    <n v="4830"/>
    <x v="13"/>
    <d v="2020-01-22T00:00:00"/>
    <n v="4"/>
    <n v="38980"/>
    <x v="0"/>
  </r>
  <r>
    <n v="22727"/>
    <s v="Eric"/>
    <s v="Martin"/>
    <s v="India "/>
    <x v="1"/>
    <x v="1"/>
    <s v="60 50 01"/>
    <s v="eric.martin@gmail.com"/>
    <x v="2"/>
    <n v="5442"/>
    <x v="14"/>
    <d v="2020-03-19T00:00:00"/>
    <n v="3"/>
    <n v="57999"/>
    <x v="0"/>
  </r>
  <r>
    <n v="24963"/>
    <s v="Grace"/>
    <s v="Hill"/>
    <s v="India "/>
    <x v="0"/>
    <x v="0"/>
    <s v="81 31 08"/>
    <s v="grace.hill@gmail.com"/>
    <x v="3"/>
    <n v="5461"/>
    <x v="15"/>
    <d v="2020-06-17T00:00:00"/>
    <n v="7"/>
    <n v="36990"/>
    <x v="0"/>
  </r>
  <r>
    <n v="18742"/>
    <s v="Lauren"/>
    <s v="Davidson"/>
    <s v="India "/>
    <x v="2"/>
    <x v="2"/>
    <s v="38 84 21"/>
    <s v="lauren.davidson@gmail.com"/>
    <x v="4"/>
    <n v="4760"/>
    <x v="15"/>
    <d v="2020-06-16T00:00:00"/>
    <n v="10"/>
    <n v="38980"/>
    <x v="0"/>
  </r>
  <r>
    <n v="19298"/>
    <s v="Warren"/>
    <s v="Mackenzie"/>
    <s v="India "/>
    <x v="2"/>
    <x v="2"/>
    <s v="38 84 21"/>
    <s v="warren.mackenzie@gmail.com"/>
    <x v="0"/>
    <n v="4708"/>
    <x v="16"/>
    <d v="2020-05-11T00:00:00"/>
    <n v="6"/>
    <n v="66989"/>
    <x v="0"/>
  </r>
  <r>
    <n v="19856"/>
    <s v="Colin"/>
    <s v="Jones"/>
    <s v="India "/>
    <x v="3"/>
    <x v="3"/>
    <s v="11 00 07"/>
    <s v="colin.jones@gmail.com"/>
    <x v="2"/>
    <n v="5424"/>
    <x v="32"/>
    <d v="2020-05-05T00:00:00"/>
    <n v="3"/>
    <n v="57999"/>
    <x v="0"/>
  </r>
  <r>
    <n v="16626"/>
    <s v="Christopher"/>
    <s v="Gibson"/>
    <s v="India "/>
    <x v="0"/>
    <x v="0"/>
    <s v="81 31 08"/>
    <s v="christopher.gibson@gmail.com"/>
    <x v="4"/>
    <n v="4801"/>
    <x v="32"/>
    <d v="2020-05-05T00:00:00"/>
    <n v="1"/>
    <n v="38980"/>
    <x v="0"/>
  </r>
  <r>
    <n v="17343"/>
    <s v="Justin"/>
    <s v="Clark"/>
    <s v="India "/>
    <x v="3"/>
    <x v="3"/>
    <s v="11 00 07"/>
    <s v="justin.clark@gmail.com"/>
    <x v="0"/>
    <n v="5134"/>
    <x v="32"/>
    <d v="2020-05-04T00:00:00"/>
    <n v="9"/>
    <n v="66989"/>
    <x v="0"/>
  </r>
  <r>
    <n v="17012"/>
    <s v="Boris"/>
    <s v="Alsop"/>
    <s v="India "/>
    <x v="0"/>
    <x v="0"/>
    <s v="81 31 08"/>
    <s v="boris.alsop@gmail.com"/>
    <x v="1"/>
    <n v="5528"/>
    <x v="33"/>
    <d v="2020-06-24T00:00:00"/>
    <n v="2"/>
    <n v="34690"/>
    <x v="0"/>
  </r>
  <r>
    <n v="19448"/>
    <s v="Sally"/>
    <s v="Rampling"/>
    <s v="India "/>
    <x v="1"/>
    <x v="1"/>
    <s v="60 50 01"/>
    <s v="sally.rampling@gmail.com"/>
    <x v="2"/>
    <n v="5492"/>
    <x v="34"/>
    <d v="2020-04-07T00:00:00"/>
    <n v="3"/>
    <n v="57999"/>
    <x v="0"/>
  </r>
  <r>
    <n v="25216"/>
    <s v="Christopher"/>
    <s v="Mackenzie"/>
    <s v="India "/>
    <x v="0"/>
    <x v="0"/>
    <s v="81 31 08"/>
    <s v="christopher.mackenzie@gmail.com"/>
    <x v="3"/>
    <n v="5195"/>
    <x v="33"/>
    <d v="2020-06-24T00:00:00"/>
    <n v="1"/>
    <n v="36990"/>
    <x v="0"/>
  </r>
  <r>
    <n v="17682"/>
    <s v="Diana"/>
    <s v="Langdon"/>
    <s v="India "/>
    <x v="2"/>
    <x v="2"/>
    <s v="38 84 21"/>
    <s v="diana.langdon@gmail.com"/>
    <x v="4"/>
    <n v="4887"/>
    <x v="33"/>
    <d v="2020-06-23T00:00:00"/>
    <n v="5"/>
    <n v="38980"/>
    <x v="0"/>
  </r>
  <r>
    <n v="18525"/>
    <s v="Jonathan"/>
    <s v="Anderson"/>
    <s v="India "/>
    <x v="0"/>
    <x v="0"/>
    <s v="81 31 08"/>
    <s v="jonathan.anderson@gmail.com"/>
    <x v="0"/>
    <n v="5386"/>
    <x v="34"/>
    <d v="2020-04-07T00:00:00"/>
    <n v="9"/>
    <n v="66989"/>
    <x v="0"/>
  </r>
  <r>
    <n v="15307"/>
    <s v="Melanie"/>
    <s v="Slater"/>
    <s v="India "/>
    <x v="1"/>
    <x v="1"/>
    <s v="60 50 01"/>
    <s v="melanie.slater@gmail.com"/>
    <x v="2"/>
    <n v="5180"/>
    <x v="33"/>
    <d v="2020-06-23T00:00:00"/>
    <n v="4"/>
    <n v="57999"/>
    <x v="0"/>
  </r>
  <r>
    <n v="17902"/>
    <s v="Michael"/>
    <s v="Rutherford"/>
    <s v="India "/>
    <x v="0"/>
    <x v="0"/>
    <s v="81 31 08"/>
    <s v="michael.rutherford@gmail.com"/>
    <x v="4"/>
    <n v="5481"/>
    <x v="35"/>
    <d v="2020-01-04T00:00:00"/>
    <n v="9"/>
    <n v="38980"/>
    <x v="0"/>
  </r>
  <r>
    <n v="16499"/>
    <s v="Sean"/>
    <s v="Rampling"/>
    <s v="India "/>
    <x v="2"/>
    <x v="2"/>
    <s v="38 84 21"/>
    <s v="sean.rampling@gmail.com"/>
    <x v="0"/>
    <n v="5443"/>
    <x v="36"/>
    <d v="2020-04-06T00:00:00"/>
    <n v="2"/>
    <n v="66989"/>
    <x v="0"/>
  </r>
  <r>
    <n v="18537"/>
    <s v="Deirdre"/>
    <s v="Sharp"/>
    <s v="India "/>
    <x v="2"/>
    <x v="2"/>
    <s v="38 84 21"/>
    <s v="deirdre.sharp@gmail.com"/>
    <x v="1"/>
    <n v="5495"/>
    <x v="36"/>
    <d v="2020-04-06T00:00:00"/>
    <n v="6"/>
    <n v="34690"/>
    <x v="0"/>
  </r>
  <r>
    <n v="20303"/>
    <s v="Oliver"/>
    <s v="Hart"/>
    <s v="India "/>
    <x v="2"/>
    <x v="2"/>
    <s v="38 84 21"/>
    <s v="oliver.hart@gmail.com"/>
    <x v="3"/>
    <n v="5400"/>
    <x v="37"/>
    <d v="2020-04-11T00:00:00"/>
    <n v="9"/>
    <n v="36990"/>
    <x v="0"/>
  </r>
  <r>
    <n v="18529"/>
    <s v="Alan"/>
    <s v="Rutherford"/>
    <s v="India "/>
    <x v="2"/>
    <x v="2"/>
    <s v="38 84 21"/>
    <s v="alan.rutherford@gmail.com"/>
    <x v="0"/>
    <n v="4575"/>
    <x v="35"/>
    <d v="2020-01-04T00:00:00"/>
    <n v="2"/>
    <n v="66989"/>
    <x v="0"/>
  </r>
  <r>
    <n v="21056"/>
    <s v="Joanne"/>
    <s v="Payne"/>
    <s v="India "/>
    <x v="3"/>
    <x v="3"/>
    <s v="11 00 07"/>
    <s v="joanne.payne@gmail.com"/>
    <x v="4"/>
    <n v="5044"/>
    <x v="36"/>
    <d v="2020-04-06T00:00:00"/>
    <n v="5"/>
    <n v="38980"/>
    <x v="0"/>
  </r>
  <r>
    <n v="19299"/>
    <s v="Luke"/>
    <s v="Vaughan"/>
    <s v="India "/>
    <x v="0"/>
    <x v="0"/>
    <s v="81 31 08"/>
    <s v="luke.vaughan@gmail.com"/>
    <x v="2"/>
    <n v="4825"/>
    <x v="36"/>
    <d v="2020-04-06T00:00:00"/>
    <n v="1"/>
    <n v="57999"/>
    <x v="0"/>
  </r>
  <r>
    <n v="20072"/>
    <s v="Wanda"/>
    <s v="Kerr"/>
    <s v="India "/>
    <x v="1"/>
    <x v="1"/>
    <s v="60 50 01"/>
    <s v="wanda.kerr@gmail.com"/>
    <x v="3"/>
    <n v="5342"/>
    <x v="37"/>
    <d v="2020-04-11T00:00:00"/>
    <n v="6"/>
    <n v="36990"/>
    <x v="0"/>
  </r>
  <r>
    <n v="15858"/>
    <s v="Yvonne"/>
    <s v="Rees"/>
    <s v="India "/>
    <x v="0"/>
    <x v="0"/>
    <s v="81 31 08"/>
    <s v="yvonne.rees@gmail.com"/>
    <x v="4"/>
    <n v="4547"/>
    <x v="38"/>
    <d v="2020-01-13T00:00:00"/>
    <n v="9"/>
    <n v="38980"/>
    <x v="0"/>
  </r>
  <r>
    <n v="19746"/>
    <s v="Frank"/>
    <s v="Knox"/>
    <s v="India "/>
    <x v="2"/>
    <x v="2"/>
    <s v="38 84 21"/>
    <s v="frank.knox@gmail.com"/>
    <x v="0"/>
    <n v="5075"/>
    <x v="38"/>
    <d v="2020-01-14T00:00:00"/>
    <n v="4"/>
    <n v="66989"/>
    <x v="0"/>
  </r>
  <r>
    <n v="13062"/>
    <s v="Natalie"/>
    <s v="Dyer"/>
    <s v="India "/>
    <x v="2"/>
    <x v="2"/>
    <s v="38 84 21"/>
    <s v="natalie.dyer@gmail.com"/>
    <x v="2"/>
    <n v="5442"/>
    <x v="37"/>
    <d v="2020-04-10T00:00:00"/>
    <n v="4"/>
    <n v="57999"/>
    <x v="0"/>
  </r>
  <r>
    <n v="23158"/>
    <s v="Gavin"/>
    <s v="Graham"/>
    <s v="India "/>
    <x v="3"/>
    <x v="3"/>
    <s v="11 00 07"/>
    <s v="gavin.graham@gmail.com"/>
    <x v="4"/>
    <n v="5152"/>
    <x v="39"/>
    <d v="2020-01-28T00:00:00"/>
    <n v="2"/>
    <n v="38980"/>
    <x v="0"/>
  </r>
  <r>
    <n v="14510"/>
    <s v="Alison"/>
    <s v="Walker"/>
    <s v="India "/>
    <x v="0"/>
    <x v="0"/>
    <s v="81 31 08"/>
    <s v="alison.walker@gmail.com"/>
    <x v="0"/>
    <n v="5277"/>
    <x v="40"/>
    <d v="2020-05-26T00:00:00"/>
    <n v="3"/>
    <n v="66989"/>
    <x v="0"/>
  </r>
  <r>
    <n v="23383"/>
    <s v="Alexander"/>
    <s v="May"/>
    <s v="India "/>
    <x v="1"/>
    <x v="1"/>
    <s v="60 50 01"/>
    <s v="alexander.may@gmail.com"/>
    <x v="1"/>
    <n v="4900"/>
    <x v="41"/>
    <d v="2020-05-17T00:00:00"/>
    <n v="1"/>
    <n v="34690"/>
    <x v="0"/>
  </r>
  <r>
    <n v="17760"/>
    <s v="Claire"/>
    <s v="Hudson"/>
    <s v="India "/>
    <x v="0"/>
    <x v="0"/>
    <s v="81 31 08"/>
    <s v="claire.hudson@gmail.com"/>
    <x v="0"/>
    <n v="5007"/>
    <x v="41"/>
    <d v="2020-05-17T00:00:00"/>
    <n v="4"/>
    <n v="66989"/>
    <x v="0"/>
  </r>
  <r>
    <n v="17642"/>
    <s v="Alison"/>
    <s v="Rees"/>
    <s v="India "/>
    <x v="2"/>
    <x v="2"/>
    <s v="38 84 21"/>
    <s v="alison.rees@gmail.com"/>
    <x v="1"/>
    <n v="4578"/>
    <x v="42"/>
    <d v="2020-06-03T00:00:00"/>
    <n v="2"/>
    <n v="34690"/>
    <x v="0"/>
  </r>
  <r>
    <n v="20055"/>
    <s v="Stephen"/>
    <s v="Abraham"/>
    <s v="India "/>
    <x v="2"/>
    <x v="2"/>
    <s v="38 84 21"/>
    <s v="stephen.abraham@gmail.com"/>
    <x v="2"/>
    <n v="5168"/>
    <x v="42"/>
    <d v="2020-06-03T00:00:00"/>
    <n v="6"/>
    <n v="57999"/>
    <x v="0"/>
  </r>
  <r>
    <n v="12706"/>
    <s v="Bella"/>
    <s v="Davidson"/>
    <s v="India "/>
    <x v="2"/>
    <x v="2"/>
    <s v="38 84 21"/>
    <s v="bella.davidson@gmail.com"/>
    <x v="3"/>
    <n v="4763"/>
    <x v="43"/>
    <d v="2020-01-17T00:00:00"/>
    <n v="6"/>
    <n v="36990"/>
    <x v="0"/>
  </r>
  <r>
    <n v="14458"/>
    <s v="Anthony"/>
    <s v="Watson"/>
    <s v="India "/>
    <x v="3"/>
    <x v="3"/>
    <s v="11 00 07"/>
    <s v="anthony.watson@gmail.com"/>
    <x v="4"/>
    <n v="4532"/>
    <x v="44"/>
    <d v="2020-03-16T00:00:00"/>
    <n v="2"/>
    <n v="38980"/>
    <x v="0"/>
  </r>
  <r>
    <n v="23027"/>
    <s v="Adam"/>
    <s v="Lawrence"/>
    <s v="India "/>
    <x v="2"/>
    <x v="2"/>
    <s v="38 84 21"/>
    <s v="adam.lawrence@gmail.com"/>
    <x v="0"/>
    <n v="4616"/>
    <x v="14"/>
    <d v="2020-03-13T00:00:00"/>
    <n v="10"/>
    <n v="66989"/>
    <x v="0"/>
  </r>
  <r>
    <n v="22355"/>
    <s v="Claire"/>
    <s v="Edmunds"/>
    <s v="India "/>
    <x v="2"/>
    <x v="2"/>
    <s v="38 84 21"/>
    <s v="claire.edmunds@gmail.com"/>
    <x v="2"/>
    <n v="5239"/>
    <x v="45"/>
    <d v="2020-04-24T00:00:00"/>
    <n v="9"/>
    <n v="57999"/>
    <x v="0"/>
  </r>
  <r>
    <n v="12991"/>
    <s v="Max"/>
    <s v="Ogden"/>
    <s v="India "/>
    <x v="3"/>
    <x v="3"/>
    <s v="11 00 07"/>
    <s v="max.ogden@gmail.com"/>
    <x v="4"/>
    <n v="5003"/>
    <x v="46"/>
    <d v="2020-01-23T00:00:00"/>
    <n v="1"/>
    <n v="38980"/>
    <x v="0"/>
  </r>
  <r>
    <n v="24392"/>
    <s v="Amelia"/>
    <s v="Powell"/>
    <s v="India "/>
    <x v="3"/>
    <x v="3"/>
    <s v="11 00 07"/>
    <s v="amelia.powell@gmail.com"/>
    <x v="0"/>
    <n v="4753"/>
    <x v="18"/>
    <d v="2020-04-22T00:00:00"/>
    <n v="5"/>
    <n v="66989"/>
    <x v="0"/>
  </r>
  <r>
    <n v="17987"/>
    <s v="Sean"/>
    <s v="Parr"/>
    <s v="India "/>
    <x v="0"/>
    <x v="0"/>
    <s v="81 31 08"/>
    <s v="sean.parr@gmail.com"/>
    <x v="1"/>
    <n v="4919"/>
    <x v="43"/>
    <d v="2020-01-16T00:00:00"/>
    <n v="9"/>
    <n v="34690"/>
    <x v="0"/>
  </r>
  <r>
    <n v="18154"/>
    <s v="Harry"/>
    <s v="Davidson"/>
    <s v="India "/>
    <x v="1"/>
    <x v="1"/>
    <s v="60 50 01"/>
    <s v="harry.davidson@gmail.com"/>
    <x v="0"/>
    <n v="5310"/>
    <x v="47"/>
    <d v="2020-04-26T00:00:00"/>
    <n v="6"/>
    <n v="66989"/>
    <x v="0"/>
  </r>
  <r>
    <n v="22719"/>
    <s v="Sebastian"/>
    <s v="Edmunds"/>
    <s v="India "/>
    <x v="0"/>
    <x v="0"/>
    <s v="81 31 08"/>
    <s v="sebastian.edmunds@gmail.com"/>
    <x v="4"/>
    <n v="4794"/>
    <x v="48"/>
    <d v="2020-04-01T00:00:00"/>
    <n v="2"/>
    <n v="38980"/>
    <x v="0"/>
  </r>
  <r>
    <n v="24390"/>
    <s v="Sebastian"/>
    <s v="Rees"/>
    <s v="India "/>
    <x v="2"/>
    <x v="2"/>
    <s v="38 84 21"/>
    <s v="sebastian.rees@gmail.com"/>
    <x v="2"/>
    <n v="5402"/>
    <x v="49"/>
    <d v="2020-06-22T00:00:00"/>
    <n v="6"/>
    <n v="57999"/>
    <x v="0"/>
  </r>
  <r>
    <n v="22211"/>
    <s v="Sarah"/>
    <s v="Simpson"/>
    <s v="India "/>
    <x v="2"/>
    <x v="2"/>
    <s v="38 84 21"/>
    <s v="sarah.simpson@gmail.com"/>
    <x v="3"/>
    <n v="5164"/>
    <x v="50"/>
    <d v="2020-05-15T00:00:00"/>
    <n v="4"/>
    <n v="36990"/>
    <x v="0"/>
  </r>
  <r>
    <n v="17543"/>
    <s v="Amy"/>
    <s v="Rutherford"/>
    <s v="India "/>
    <x v="3"/>
    <x v="3"/>
    <s v="11 00 07"/>
    <s v="amy.rutherford@gmail.com"/>
    <x v="4"/>
    <n v="4614"/>
    <x v="51"/>
    <d v="2020-01-26T00:00:00"/>
    <n v="4"/>
    <n v="38980"/>
    <x v="0"/>
  </r>
  <r>
    <n v="22421"/>
    <s v="Liam"/>
    <s v="Bailey"/>
    <s v="India "/>
    <x v="0"/>
    <x v="0"/>
    <s v="81 31 08"/>
    <s v="liam.bailey@gmail.com"/>
    <x v="0"/>
    <n v="4929"/>
    <x v="22"/>
    <d v="2020-01-04T00:00:00"/>
    <n v="3"/>
    <n v="66989"/>
    <x v="0"/>
  </r>
  <r>
    <n v="15746"/>
    <s v="Blake"/>
    <s v="Skinner"/>
    <s v="India "/>
    <x v="2"/>
    <x v="2"/>
    <s v="38 84 21"/>
    <s v="blake.skinner@gmail.com"/>
    <x v="2"/>
    <n v="5350"/>
    <x v="22"/>
    <d v="2020-01-03T00:00:00"/>
    <n v="8"/>
    <n v="57999"/>
    <x v="0"/>
  </r>
  <r>
    <n v="22456"/>
    <s v="Julian"/>
    <s v="Wright"/>
    <s v="India "/>
    <x v="3"/>
    <x v="3"/>
    <s v="11 00 07"/>
    <s v="julian.wright@gmail.com"/>
    <x v="4"/>
    <n v="5147"/>
    <x v="52"/>
    <d v="2020-01-18T00:00:00"/>
    <n v="4"/>
    <n v="38980"/>
    <x v="0"/>
  </r>
  <r>
    <n v="23896"/>
    <s v="Vanessa"/>
    <s v="Oliver"/>
    <s v="India "/>
    <x v="0"/>
    <x v="0"/>
    <s v="81 31 08"/>
    <s v="vanessa.oliver@gmail.com"/>
    <x v="0"/>
    <n v="5291"/>
    <x v="35"/>
    <d v="2020-01-05T00:00:00"/>
    <n v="10"/>
    <n v="66989"/>
    <x v="0"/>
  </r>
  <r>
    <n v="17265"/>
    <s v="Ryan"/>
    <s v="Simpson"/>
    <s v="India "/>
    <x v="3"/>
    <x v="3"/>
    <s v="11 00 07"/>
    <s v="ryan.simpson@gmail.com"/>
    <x v="1"/>
    <n v="5235"/>
    <x v="35"/>
    <d v="2020-01-10T00:00:00"/>
    <n v="5"/>
    <n v="34690"/>
    <x v="0"/>
  </r>
  <r>
    <n v="19651"/>
    <s v="Owen"/>
    <s v="Welch"/>
    <s v="India "/>
    <x v="0"/>
    <x v="0"/>
    <s v="81 31 08"/>
    <s v="owen.welch@gmail.com"/>
    <x v="0"/>
    <n v="4811"/>
    <x v="35"/>
    <d v="2020-01-07T00:00:00"/>
    <n v="4"/>
    <n v="66989"/>
    <x v="0"/>
  </r>
  <r>
    <n v="24650"/>
    <s v="Benjamin"/>
    <s v="Paige"/>
    <s v="India "/>
    <x v="1"/>
    <x v="1"/>
    <s v="60 50 01"/>
    <s v="benjamin.paige@gmail.com"/>
    <x v="1"/>
    <n v="5242"/>
    <x v="53"/>
    <d v="2020-04-15T00:00:00"/>
    <n v="5"/>
    <n v="34690"/>
    <x v="0"/>
  </r>
  <r>
    <n v="25533"/>
    <s v="Dan"/>
    <s v="Carr"/>
    <s v="India "/>
    <x v="0"/>
    <x v="0"/>
    <s v="81 31 08"/>
    <s v="dan.carr@gmail.com"/>
    <x v="2"/>
    <n v="5458"/>
    <x v="54"/>
    <d v="2020-02-21T00:00:00"/>
    <n v="7"/>
    <n v="57999"/>
    <x v="0"/>
  </r>
  <r>
    <n v="19944"/>
    <s v="Joanne"/>
    <s v="Alsop"/>
    <s v="India "/>
    <x v="2"/>
    <x v="2"/>
    <s v="38 84 21"/>
    <s v="joanne.alsop@gmail.com"/>
    <x v="3"/>
    <n v="5507"/>
    <x v="55"/>
    <d v="2020-05-23T00:00:00"/>
    <n v="7"/>
    <n v="36990"/>
    <x v="0"/>
  </r>
  <r>
    <n v="19940"/>
    <s v="Tracey"/>
    <s v="Ball"/>
    <s v="India "/>
    <x v="0"/>
    <x v="0"/>
    <s v="81 31 08"/>
    <s v="tracey.ball@gmail.com"/>
    <x v="4"/>
    <n v="5401"/>
    <x v="54"/>
    <d v="2020-02-21T00:00:00"/>
    <n v="4"/>
    <n v="38980"/>
    <x v="0"/>
  </r>
  <r>
    <n v="21350"/>
    <s v="Liam"/>
    <s v="Baker"/>
    <s v="India "/>
    <x v="1"/>
    <x v="1"/>
    <s v="60 50 01"/>
    <s v="liam.baker@gmail.com"/>
    <x v="0"/>
    <n v="4665"/>
    <x v="55"/>
    <d v="2020-05-22T00:00:00"/>
    <n v="2"/>
    <n v="66989"/>
    <x v="0"/>
  </r>
  <r>
    <n v="24231"/>
    <s v="Stephanie"/>
    <s v="Russell"/>
    <s v="India "/>
    <x v="0"/>
    <x v="0"/>
    <s v="81 31 08"/>
    <s v="stephanie.russell@gmail.com"/>
    <x v="2"/>
    <n v="5251"/>
    <x v="55"/>
    <d v="2020-05-23T00:00:00"/>
    <n v="2"/>
    <n v="57999"/>
    <x v="0"/>
  </r>
  <r>
    <n v="21528"/>
    <s v="Matt"/>
    <s v="Wilkins"/>
    <s v="India "/>
    <x v="2"/>
    <x v="2"/>
    <s v="38 84 21"/>
    <s v="matt.wilkins@gmail.com"/>
    <x v="4"/>
    <n v="5406"/>
    <x v="6"/>
    <d v="2020-02-13T00:00:00"/>
    <n v="4"/>
    <n v="38980"/>
    <x v="0"/>
  </r>
  <r>
    <n v="15891"/>
    <s v="Wanda"/>
    <s v="White"/>
    <s v="India "/>
    <x v="2"/>
    <x v="2"/>
    <s v="38 84 21"/>
    <s v="wanda.white@gmail.com"/>
    <x v="0"/>
    <n v="4616"/>
    <x v="6"/>
    <d v="2020-02-15T00:00:00"/>
    <n v="4"/>
    <n v="66989"/>
    <x v="0"/>
  </r>
  <r>
    <n v="16483"/>
    <s v="Trevor"/>
    <s v="Jackson"/>
    <s v="India "/>
    <x v="2"/>
    <x v="2"/>
    <s v="38 84 21"/>
    <s v="trevor.jackson@gmail.com"/>
    <x v="1"/>
    <n v="5463"/>
    <x v="37"/>
    <d v="2020-04-11T00:00:00"/>
    <n v="2"/>
    <n v="34690"/>
    <x v="0"/>
  </r>
  <r>
    <n v="14754"/>
    <s v="Faith"/>
    <s v="Tucker"/>
    <s v="India "/>
    <x v="2"/>
    <x v="2"/>
    <s v="38 84 21"/>
    <s v="faith.tucker@gmail.com"/>
    <x v="3"/>
    <n v="4790"/>
    <x v="37"/>
    <d v="2020-04-09T00:00:00"/>
    <n v="1"/>
    <n v="36990"/>
    <x v="0"/>
  </r>
  <r>
    <n v="21693"/>
    <s v="Ruth"/>
    <s v="Miller"/>
    <s v="India "/>
    <x v="3"/>
    <x v="3"/>
    <s v="11 00 07"/>
    <s v="ruth.miller@gmail.com"/>
    <x v="0"/>
    <n v="5263"/>
    <x v="37"/>
    <d v="2020-04-10T00:00:00"/>
    <n v="3"/>
    <n v="66989"/>
    <x v="0"/>
  </r>
  <r>
    <n v="15346"/>
    <s v="Ryan"/>
    <s v="Poole"/>
    <s v="India "/>
    <x v="0"/>
    <x v="0"/>
    <s v="81 31 08"/>
    <s v="ryan.poole@gmail.com"/>
    <x v="4"/>
    <n v="5148"/>
    <x v="35"/>
    <d v="2020-01-05T00:00:00"/>
    <n v="6"/>
    <n v="38980"/>
    <x v="0"/>
  </r>
  <r>
    <n v="22330"/>
    <s v="Phil"/>
    <s v="Rees"/>
    <s v="India "/>
    <x v="1"/>
    <x v="1"/>
    <s v="60 50 01"/>
    <s v="phil.rees@gmail.com"/>
    <x v="2"/>
    <n v="5381"/>
    <x v="25"/>
    <d v="2020-04-01T00:00:00"/>
    <n v="8"/>
    <n v="57999"/>
    <x v="0"/>
  </r>
  <r>
    <n v="14177"/>
    <s v="Fiona"/>
    <s v="Hudson"/>
    <s v="India "/>
    <x v="0"/>
    <x v="0"/>
    <s v="81 31 08"/>
    <s v="fiona.hudson@gmail.com"/>
    <x v="3"/>
    <n v="4907"/>
    <x v="56"/>
    <d v="2020-01-11T00:00:00"/>
    <n v="1"/>
    <n v="36990"/>
    <x v="0"/>
  </r>
  <r>
    <n v="22689"/>
    <s v="Julian"/>
    <s v="Bell"/>
    <s v="India "/>
    <x v="2"/>
    <x v="2"/>
    <s v="38 84 21"/>
    <s v="julian.bell@gmail.com"/>
    <x v="4"/>
    <n v="5232"/>
    <x v="25"/>
    <d v="2020-04-01T00:00:00"/>
    <n v="1"/>
    <n v="38980"/>
    <x v="0"/>
  </r>
  <r>
    <n v="21851"/>
    <s v="John"/>
    <s v="Watson"/>
    <s v="India "/>
    <x v="2"/>
    <x v="2"/>
    <s v="38 84 21"/>
    <s v="john.watson@gmail.com"/>
    <x v="0"/>
    <n v="5099"/>
    <x v="57"/>
    <d v="2020-04-04T00:00:00"/>
    <n v="5"/>
    <n v="66989"/>
    <x v="0"/>
  </r>
  <r>
    <n v="18530"/>
    <s v="Mary"/>
    <s v="Scott"/>
    <s v="India "/>
    <x v="3"/>
    <x v="3"/>
    <s v="11 00 07"/>
    <s v="mary.scott@gmail.com"/>
    <x v="2"/>
    <n v="4636"/>
    <x v="57"/>
    <d v="2020-04-04T00:00:00"/>
    <n v="7"/>
    <n v="57999"/>
    <x v="0"/>
  </r>
  <r>
    <n v="22417"/>
    <s v="Jasmine"/>
    <s v="Springer"/>
    <s v="India "/>
    <x v="0"/>
    <x v="0"/>
    <s v="81 31 08"/>
    <s v="jasmine.springer@gmail.com"/>
    <x v="4"/>
    <n v="4805"/>
    <x v="58"/>
    <d v="2020-04-28T00:00:00"/>
    <n v="4"/>
    <n v="38980"/>
    <x v="0"/>
  </r>
  <r>
    <n v="21259"/>
    <s v="Isaac"/>
    <s v="Welch"/>
    <s v="India "/>
    <x v="1"/>
    <x v="1"/>
    <s v="60 50 01"/>
    <s v="isaac.welch@gmail.com"/>
    <x v="0"/>
    <n v="5000"/>
    <x v="59"/>
    <d v="2020-01-18T00:00:00"/>
    <n v="3"/>
    <n v="66989"/>
    <x v="0"/>
  </r>
  <r>
    <n v="22758"/>
    <s v="Sally"/>
    <s v="Peters"/>
    <s v="India "/>
    <x v="0"/>
    <x v="0"/>
    <s v="81 31 08"/>
    <s v="sally.peters@gmail.com"/>
    <x v="1"/>
    <n v="5173"/>
    <x v="60"/>
    <d v="2020-01-21T00:00:00"/>
    <n v="5"/>
    <n v="34690"/>
    <x v="0"/>
  </r>
  <r>
    <n v="20672"/>
    <s v="Lillian"/>
    <s v="Burgess"/>
    <s v="India "/>
    <x v="2"/>
    <x v="2"/>
    <s v="38 84 21"/>
    <s v="lillian.burgess@gmail.com"/>
    <x v="2"/>
    <n v="5439"/>
    <x v="42"/>
    <d v="2020-06-02T00:00:00"/>
    <n v="1"/>
    <n v="57999"/>
    <x v="0"/>
  </r>
  <r>
    <n v="15363"/>
    <s v="Sue"/>
    <s v="Black"/>
    <s v="India "/>
    <x v="2"/>
    <x v="2"/>
    <s v="38 84 21"/>
    <s v="sue.black@gmail.com"/>
    <x v="3"/>
    <n v="4774"/>
    <x v="42"/>
    <d v="2020-06-02T00:00:00"/>
    <n v="9"/>
    <n v="36990"/>
    <x v="0"/>
  </r>
  <r>
    <n v="17457"/>
    <s v="Thomas"/>
    <s v="Lewis"/>
    <s v="India "/>
    <x v="2"/>
    <x v="2"/>
    <s v="38 84 21"/>
    <s v="thomas.lewis@gmail.com"/>
    <x v="4"/>
    <n v="4778"/>
    <x v="3"/>
    <d v="2020-05-13T00:00:00"/>
    <n v="4"/>
    <n v="38980"/>
    <x v="0"/>
  </r>
  <r>
    <n v="16145"/>
    <s v="Joshua"/>
    <s v="Hodges"/>
    <s v="India "/>
    <x v="2"/>
    <x v="2"/>
    <s v="38 84 21"/>
    <s v="joshua.hodges@gmail.com"/>
    <x v="0"/>
    <n v="4613"/>
    <x v="4"/>
    <d v="2020-04-09T00:00:00"/>
    <n v="10"/>
    <n v="66989"/>
    <x v="0"/>
  </r>
  <r>
    <n v="25414"/>
    <s v="Sam"/>
    <s v="Lyman"/>
    <s v="India "/>
    <x v="3"/>
    <x v="3"/>
    <s v="11 00 07"/>
    <s v="sam.lyman@gmail.com"/>
    <x v="2"/>
    <n v="4903"/>
    <x v="5"/>
    <d v="2020-05-28T00:00:00"/>
    <n v="1"/>
    <n v="57999"/>
    <x v="0"/>
  </r>
  <r>
    <n v="17513"/>
    <s v="Sally"/>
    <s v="Knox"/>
    <s v="India "/>
    <x v="0"/>
    <x v="0"/>
    <s v="81 31 08"/>
    <s v="sally.knox@gmail.com"/>
    <x v="3"/>
    <n v="5456"/>
    <x v="6"/>
    <d v="2020-02-15T00:00:00"/>
    <n v="9"/>
    <n v="36990"/>
    <x v="0"/>
  </r>
  <r>
    <n v="24034"/>
    <s v="Anthony"/>
    <s v="Baker"/>
    <s v="India "/>
    <x v="1"/>
    <x v="1"/>
    <s v="60 50 01"/>
    <s v="anthony.baker@gmail.com"/>
    <x v="4"/>
    <n v="5517"/>
    <x v="6"/>
    <d v="2020-02-14T00:00:00"/>
    <n v="8"/>
    <n v="38980"/>
    <x v="0"/>
  </r>
  <r>
    <n v="25313"/>
    <s v="Max"/>
    <s v="Underwood"/>
    <s v="India "/>
    <x v="0"/>
    <x v="0"/>
    <s v="81 31 08"/>
    <s v="max.underwood@gmail.com"/>
    <x v="0"/>
    <n v="5335"/>
    <x v="7"/>
    <d v="2020-05-16T00:00:00"/>
    <n v="4"/>
    <n v="66989"/>
    <x v="0"/>
  </r>
  <r>
    <n v="25257"/>
    <s v="Robert"/>
    <s v="Payne"/>
    <s v="India "/>
    <x v="2"/>
    <x v="2"/>
    <s v="38 84 21"/>
    <s v="robert.payne@gmail.com"/>
    <x v="2"/>
    <n v="4950"/>
    <x v="8"/>
    <d v="2020-05-23T00:00:00"/>
    <n v="8"/>
    <n v="57999"/>
    <x v="0"/>
  </r>
  <r>
    <n v="22288"/>
    <s v="Penelope"/>
    <s v="Welch"/>
    <s v="India "/>
    <x v="2"/>
    <x v="2"/>
    <s v="38 84 21"/>
    <s v="penelope.welch@gmail.com"/>
    <x v="4"/>
    <n v="4914"/>
    <x v="7"/>
    <d v="2020-05-16T00:00:00"/>
    <n v="10"/>
    <n v="38980"/>
    <x v="0"/>
  </r>
  <r>
    <n v="17019"/>
    <s v="Sally"/>
    <s v="Ball"/>
    <s v="India "/>
    <x v="2"/>
    <x v="2"/>
    <s v="38 84 21"/>
    <s v="sally.ball@gmail.com"/>
    <x v="0"/>
    <n v="4840"/>
    <x v="8"/>
    <d v="2020-05-22T00:00:00"/>
    <n v="9"/>
    <n v="66989"/>
    <x v="0"/>
  </r>
  <r>
    <n v="24832"/>
    <s v="Virginia"/>
    <s v="Jackson"/>
    <s v="India "/>
    <x v="3"/>
    <x v="3"/>
    <s v="11 00 07"/>
    <s v="virginia.jackson@gmail.com"/>
    <x v="1"/>
    <n v="4894"/>
    <x v="8"/>
    <d v="2020-05-23T00:00:00"/>
    <n v="7"/>
    <n v="34690"/>
    <x v="0"/>
  </r>
  <r>
    <n v="20756"/>
    <s v="Emily"/>
    <s v="Hill"/>
    <s v="India "/>
    <x v="2"/>
    <x v="2"/>
    <s v="38 84 21"/>
    <s v="emily.hill@gmail.com"/>
    <x v="3"/>
    <n v="4886"/>
    <x v="9"/>
    <d v="2020-01-29T00:00:00"/>
    <n v="1"/>
    <n v="36990"/>
    <x v="0"/>
  </r>
  <r>
    <n v="24723"/>
    <s v="Carolyn"/>
    <s v="Ferguson"/>
    <s v="India "/>
    <x v="2"/>
    <x v="2"/>
    <s v="38 84 21"/>
    <s v="carolyn.ferguson@gmail.com"/>
    <x v="0"/>
    <n v="5307"/>
    <x v="9"/>
    <d v="2020-01-30T00:00:00"/>
    <n v="9"/>
    <n v="66989"/>
    <x v="0"/>
  </r>
  <r>
    <n v="24643"/>
    <s v="Trevor"/>
    <s v="Welch"/>
    <s v="India "/>
    <x v="3"/>
    <x v="3"/>
    <s v="11 00 07"/>
    <s v="trevor.welch@gmail.com"/>
    <x v="4"/>
    <n v="5272"/>
    <x v="10"/>
    <d v="2020-05-04T00:00:00"/>
    <n v="2"/>
    <n v="38980"/>
    <x v="0"/>
  </r>
  <r>
    <n v="16980"/>
    <s v="Neil"/>
    <s v="Powell"/>
    <s v="India "/>
    <x v="3"/>
    <x v="3"/>
    <s v="11 00 07"/>
    <s v="neil.powell@gmail.com"/>
    <x v="2"/>
    <n v="5129"/>
    <x v="11"/>
    <d v="2020-02-23T00:00:00"/>
    <n v="5"/>
    <n v="57999"/>
    <x v="0"/>
  </r>
  <r>
    <n v="24692"/>
    <s v="Adrian"/>
    <s v="Carr"/>
    <s v="India "/>
    <x v="0"/>
    <x v="0"/>
    <s v="81 31 08"/>
    <s v="adrian.carr@gmail.com"/>
    <x v="3"/>
    <n v="4935"/>
    <x v="12"/>
    <d v="2020-03-28T00:00:00"/>
    <n v="5"/>
    <n v="36990"/>
    <x v="0"/>
  </r>
  <r>
    <n v="15122"/>
    <s v="Leonard"/>
    <s v="Wilkins"/>
    <s v="India "/>
    <x v="1"/>
    <x v="1"/>
    <s v="60 50 01"/>
    <s v="leonard.wilkins@gmail.com"/>
    <x v="4"/>
    <n v="4923"/>
    <x v="13"/>
    <d v="2020-01-22T00:00:00"/>
    <n v="8"/>
    <n v="38980"/>
    <x v="0"/>
  </r>
  <r>
    <n v="13649"/>
    <s v="Felicity"/>
    <s v="McDonald"/>
    <s v="India "/>
    <x v="0"/>
    <x v="0"/>
    <s v="81 31 08"/>
    <s v="felicity.mcdonald@gmail.com"/>
    <x v="0"/>
    <n v="5429"/>
    <x v="14"/>
    <d v="2020-03-19T00:00:00"/>
    <n v="10"/>
    <n v="66989"/>
    <x v="0"/>
  </r>
  <r>
    <n v="18500"/>
    <s v="Ryan"/>
    <s v="Mathis"/>
    <s v="India "/>
    <x v="2"/>
    <x v="2"/>
    <s v="38 84 21"/>
    <s v="ryan.mathis@gmail.com"/>
    <x v="2"/>
    <n v="4672"/>
    <x v="15"/>
    <d v="2020-06-17T00:00:00"/>
    <n v="1"/>
    <n v="57999"/>
    <x v="0"/>
  </r>
  <r>
    <n v="13229"/>
    <s v="Donna"/>
    <s v="Clarkson"/>
    <s v="India "/>
    <x v="2"/>
    <x v="2"/>
    <s v="38 84 21"/>
    <s v="donna.clarkson@gmail.com"/>
    <x v="4"/>
    <n v="4715"/>
    <x v="15"/>
    <d v="2020-06-16T00:00:00"/>
    <n v="7"/>
    <n v="38980"/>
    <x v="0"/>
  </r>
  <r>
    <n v="23996"/>
    <s v="Joe"/>
    <s v="Knox"/>
    <s v="India "/>
    <x v="3"/>
    <x v="3"/>
    <s v="11 00 07"/>
    <s v="joe.knox@gmail.com"/>
    <x v="0"/>
    <n v="5371"/>
    <x v="16"/>
    <d v="2020-05-11T00:00:00"/>
    <n v="10"/>
    <n v="66989"/>
    <x v="0"/>
  </r>
  <r>
    <n v="19552"/>
    <s v="Blake"/>
    <s v="Manning"/>
    <s v="India "/>
    <x v="0"/>
    <x v="0"/>
    <s v="81 31 08"/>
    <s v="blake.manning@gmail.com"/>
    <x v="1"/>
    <n v="5508"/>
    <x v="17"/>
    <d v="2020-03-10T00:00:00"/>
    <n v="3"/>
    <n v="34690"/>
    <x v="0"/>
  </r>
  <r>
    <n v="18140"/>
    <s v="Bernadette"/>
    <s v="McGrath"/>
    <s v="India "/>
    <x v="1"/>
    <x v="1"/>
    <s v="60 50 01"/>
    <s v="bernadette.mcgrath@gmail.com"/>
    <x v="2"/>
    <n v="4771"/>
    <x v="9"/>
    <d v="2020-01-30T00:00:00"/>
    <n v="7"/>
    <n v="57999"/>
    <x v="0"/>
  </r>
  <r>
    <n v="15643"/>
    <s v="William"/>
    <s v="Paterson"/>
    <s v="India "/>
    <x v="0"/>
    <x v="0"/>
    <s v="81 31 08"/>
    <s v="william.paterson@gmail.com"/>
    <x v="3"/>
    <n v="5247"/>
    <x v="17"/>
    <d v="2020-03-11T00:00:00"/>
    <n v="4"/>
    <n v="36990"/>
    <x v="0"/>
  </r>
  <r>
    <n v="25425"/>
    <s v="Una"/>
    <s v="Lawrence"/>
    <s v="India "/>
    <x v="2"/>
    <x v="2"/>
    <s v="38 84 21"/>
    <s v="una.lawrence@gmail.com"/>
    <x v="4"/>
    <n v="5306"/>
    <x v="18"/>
    <d v="2020-04-21T00:00:00"/>
    <n v="9"/>
    <n v="38980"/>
    <x v="0"/>
  </r>
  <r>
    <n v="22781"/>
    <s v="Gavin"/>
    <s v="Dyer"/>
    <s v="India "/>
    <x v="2"/>
    <x v="2"/>
    <s v="38 84 21"/>
    <s v="gavin.dyer@gmail.com"/>
    <x v="0"/>
    <n v="5251"/>
    <x v="18"/>
    <d v="2020-04-21T00:00:00"/>
    <n v="6"/>
    <n v="66989"/>
    <x v="0"/>
  </r>
  <r>
    <n v="16269"/>
    <s v="Wanda"/>
    <s v="Arnold"/>
    <s v="India "/>
    <x v="3"/>
    <x v="3"/>
    <s v="11 00 07"/>
    <s v="wanda.arnold@gmail.com"/>
    <x v="2"/>
    <n v="5271"/>
    <x v="19"/>
    <d v="2020-05-11T00:00:00"/>
    <n v="5"/>
    <n v="57999"/>
    <x v="0"/>
  </r>
  <r>
    <n v="17932"/>
    <s v="William"/>
    <s v="Abraham"/>
    <s v="India "/>
    <x v="0"/>
    <x v="0"/>
    <s v="81 31 08"/>
    <s v="william.abraham@gmail.com"/>
    <x v="4"/>
    <n v="5207"/>
    <x v="20"/>
    <d v="2020-06-14T00:00:00"/>
    <n v="1"/>
    <n v="38980"/>
    <x v="0"/>
  </r>
  <r>
    <n v="16491"/>
    <s v="Audrey"/>
    <s v="Jones"/>
    <s v="India "/>
    <x v="3"/>
    <x v="3"/>
    <s v="11 00 07"/>
    <s v="audrey.jones@gmail.com"/>
    <x v="0"/>
    <n v="5430"/>
    <x v="21"/>
    <d v="2020-03-04T00:00:00"/>
    <n v="5"/>
    <n v="66989"/>
    <x v="0"/>
  </r>
  <r>
    <n v="16980"/>
    <s v="Trevor"/>
    <s v="Randall"/>
    <s v="India "/>
    <x v="0"/>
    <x v="0"/>
    <s v="81 31 08"/>
    <s v="trevor.randall@gmail.com"/>
    <x v="1"/>
    <n v="5440"/>
    <x v="21"/>
    <d v="2020-03-02T00:00:00"/>
    <n v="1"/>
    <n v="34690"/>
    <x v="0"/>
  </r>
  <r>
    <n v="22363"/>
    <s v="Owen"/>
    <s v="Hughes"/>
    <s v="India "/>
    <x v="1"/>
    <x v="1"/>
    <s v="60 50 01"/>
    <s v="owen.hughes@gmail.com"/>
    <x v="3"/>
    <n v="4547"/>
    <x v="22"/>
    <d v="2020-01-09T00:00:00"/>
    <n v="8"/>
    <n v="36990"/>
    <x v="0"/>
  </r>
  <r>
    <n v="21118"/>
    <s v="Gavin"/>
    <s v="Newman"/>
    <s v="India "/>
    <x v="0"/>
    <x v="0"/>
    <s v="81 31 08"/>
    <s v="gavin.newman@gmail.com"/>
    <x v="0"/>
    <n v="5296"/>
    <x v="22"/>
    <d v="2020-01-02T00:00:00"/>
    <n v="4"/>
    <n v="66989"/>
    <x v="0"/>
  </r>
  <r>
    <n v="17858"/>
    <s v="Joan"/>
    <s v="Parr"/>
    <s v="India "/>
    <x v="2"/>
    <x v="2"/>
    <s v="38 84 21"/>
    <s v="joan.parr@gmail.com"/>
    <x v="4"/>
    <n v="4790"/>
    <x v="22"/>
    <d v="2020-01-04T00:00:00"/>
    <n v="5"/>
    <n v="38980"/>
    <x v="0"/>
  </r>
  <r>
    <n v="14382"/>
    <s v="Peter"/>
    <s v="Ellison"/>
    <s v="India "/>
    <x v="0"/>
    <x v="0"/>
    <s v="81 31 08"/>
    <s v="peter.ellison@gmail.com"/>
    <x v="2"/>
    <n v="5178"/>
    <x v="22"/>
    <d v="2020-01-09T00:00:00"/>
    <n v="5"/>
    <n v="57999"/>
    <x v="0"/>
  </r>
  <r>
    <n v="21441"/>
    <s v="Emma"/>
    <s v="Henderson"/>
    <s v="India "/>
    <x v="1"/>
    <x v="1"/>
    <s v="60 50 01"/>
    <s v="emma.henderson@gmail.com"/>
    <x v="3"/>
    <n v="5506"/>
    <x v="23"/>
    <d v="2020-02-04T00:00:00"/>
    <n v="2"/>
    <n v="36990"/>
    <x v="0"/>
  </r>
  <r>
    <n v="25398"/>
    <s v="Diane"/>
    <s v="Rees"/>
    <s v="India "/>
    <x v="0"/>
    <x v="0"/>
    <s v="81 31 08"/>
    <s v="diane.rees@gmail.com"/>
    <x v="4"/>
    <n v="4885"/>
    <x v="23"/>
    <d v="2020-02-04T00:00:00"/>
    <n v="4"/>
    <n v="38980"/>
    <x v="0"/>
  </r>
  <r>
    <n v="18080"/>
    <s v="Maria"/>
    <s v="Churchill"/>
    <s v="India "/>
    <x v="2"/>
    <x v="2"/>
    <s v="38 84 21"/>
    <s v="maria.churchill@gmail.com"/>
    <x v="0"/>
    <n v="4718"/>
    <x v="24"/>
    <d v="2020-03-15T00:00:00"/>
    <n v="8"/>
    <n v="66989"/>
    <x v="0"/>
  </r>
  <r>
    <n v="23270"/>
    <s v="Sonia"/>
    <s v="Howard"/>
    <s v="India "/>
    <x v="2"/>
    <x v="2"/>
    <s v="38 84 21"/>
    <s v="sonia.howard@gmail.com"/>
    <x v="2"/>
    <n v="5356"/>
    <x v="23"/>
    <d v="2020-02-03T00:00:00"/>
    <n v="4"/>
    <n v="57999"/>
    <x v="0"/>
  </r>
  <r>
    <n v="19849"/>
    <s v="Anna"/>
    <s v="Brown"/>
    <s v="India "/>
    <x v="2"/>
    <x v="2"/>
    <s v="38 84 21"/>
    <s v="anna.brown@gmail.com"/>
    <x v="4"/>
    <n v="5352"/>
    <x v="25"/>
    <d v="2020-04-02T00:00:00"/>
    <n v="9"/>
    <n v="38980"/>
    <x v="0"/>
  </r>
  <r>
    <n v="17003"/>
    <s v="Una"/>
    <s v="Sutherland"/>
    <s v="India "/>
    <x v="2"/>
    <x v="2"/>
    <s v="38 84 21"/>
    <s v="una.sutherland@gmail.com"/>
    <x v="0"/>
    <n v="5026"/>
    <x v="26"/>
    <d v="2020-06-08T00:00:00"/>
    <n v="4"/>
    <n v="66989"/>
    <x v="0"/>
  </r>
  <r>
    <n v="22098"/>
    <s v="Victoria"/>
    <s v="Duncan"/>
    <s v="India "/>
    <x v="3"/>
    <x v="3"/>
    <s v="11 00 07"/>
    <s v="victoria.duncan@gmail.com"/>
    <x v="1"/>
    <n v="4752"/>
    <x v="27"/>
    <d v="2020-03-23T00:00:00"/>
    <n v="8"/>
    <n v="34690"/>
    <x v="0"/>
  </r>
  <r>
    <n v="20872"/>
    <s v="Carl"/>
    <s v="Ellison"/>
    <s v="India "/>
    <x v="0"/>
    <x v="0"/>
    <s v="81 31 08"/>
    <s v="carl.ellison@gmail.com"/>
    <x v="0"/>
    <n v="5399"/>
    <x v="27"/>
    <d v="2020-03-25T00:00:00"/>
    <n v="10"/>
    <n v="66989"/>
    <x v="0"/>
  </r>
  <r>
    <n v="17696"/>
    <s v="Madeleine"/>
    <s v="Robertson"/>
    <s v="India "/>
    <x v="1"/>
    <x v="1"/>
    <s v="60 50 01"/>
    <s v="madeleine.robertson@gmail.com"/>
    <x v="1"/>
    <n v="5101"/>
    <x v="28"/>
    <d v="2020-05-18T00:00:00"/>
    <n v="3"/>
    <n v="34690"/>
    <x v="0"/>
  </r>
  <r>
    <n v="18750"/>
    <s v="Sam"/>
    <s v="Payne"/>
    <s v="India "/>
    <x v="0"/>
    <x v="0"/>
    <s v="81 31 08"/>
    <s v="sam.payne@gmail.com"/>
    <x v="2"/>
    <n v="4866"/>
    <x v="29"/>
    <d v="2020-02-20T00:00:00"/>
    <n v="8"/>
    <n v="57999"/>
    <x v="0"/>
  </r>
  <r>
    <n v="22362"/>
    <s v="Audrey"/>
    <s v="Reid"/>
    <s v="India "/>
    <x v="2"/>
    <x v="2"/>
    <s v="38 84 21"/>
    <s v="audrey.reid@gmail.com"/>
    <x v="3"/>
    <n v="5314"/>
    <x v="30"/>
    <d v="2020-03-06T00:00:00"/>
    <n v="3"/>
    <n v="36990"/>
    <x v="0"/>
  </r>
  <r>
    <n v="19275"/>
    <s v="Jennifer"/>
    <s v="Greene"/>
    <s v="India "/>
    <x v="2"/>
    <x v="2"/>
    <s v="38 84 21"/>
    <s v="jennifer.greene@gmail.com"/>
    <x v="4"/>
    <n v="4791"/>
    <x v="28"/>
    <d v="2020-05-19T00:00:00"/>
    <n v="3"/>
    <n v="38980"/>
    <x v="0"/>
  </r>
  <r>
    <n v="18133"/>
    <s v="Gavin"/>
    <s v="Dickens"/>
    <s v="India "/>
    <x v="3"/>
    <x v="3"/>
    <s v="11 00 07"/>
    <s v="gavin.dickens@gmail.com"/>
    <x v="0"/>
    <n v="5048"/>
    <x v="28"/>
    <d v="2020-05-18T00:00:00"/>
    <n v="7"/>
    <n v="66989"/>
    <x v="0"/>
  </r>
  <r>
    <n v="15577"/>
    <s v="Eric"/>
    <s v="Hill"/>
    <s v="India "/>
    <x v="0"/>
    <x v="0"/>
    <s v="81 31 08"/>
    <s v="eric.hill@gmail.com"/>
    <x v="2"/>
    <n v="5414"/>
    <x v="31"/>
    <d v="2020-06-09T00:00:00"/>
    <n v="10"/>
    <n v="57999"/>
    <x v="0"/>
  </r>
  <r>
    <n v="15578"/>
    <s v="Connor"/>
    <s v="Morgan"/>
    <s v="India "/>
    <x v="1"/>
    <x v="1"/>
    <s v="60 50 01"/>
    <s v="connor.morgan@gmail.com"/>
    <x v="4"/>
    <n v="5351"/>
    <x v="32"/>
    <d v="2020-05-05T00:00:00"/>
    <n v="8"/>
    <n v="38980"/>
    <x v="0"/>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r>
    <m/>
    <m/>
    <m/>
    <m/>
    <x v="4"/>
    <x v="4"/>
    <m/>
    <m/>
    <x v="5"/>
    <m/>
    <x v="61"/>
    <m/>
    <m/>
    <e v="#N/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EF83BD-0F19-446B-8789-D3F6D484773B}" name="PivotTable1"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3:B10" firstHeaderRow="1" firstDataRow="1" firstDataCol="1"/>
  <pivotFields count="16">
    <pivotField showAll="0"/>
    <pivotField showAll="0"/>
    <pivotField showAll="0"/>
    <pivotField showAll="0"/>
    <pivotField showAll="0"/>
    <pivotField showAll="0"/>
    <pivotField showAll="0"/>
    <pivotField showAll="0"/>
    <pivotField axis="axisRow" showAll="0">
      <items count="7">
        <item x="4"/>
        <item x="0"/>
        <item x="1"/>
        <item x="2"/>
        <item x="3"/>
        <item x="5"/>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i>
    <i>
      <x v="1"/>
    </i>
    <i>
      <x v="2"/>
    </i>
    <i>
      <x v="3"/>
    </i>
    <i>
      <x v="4"/>
    </i>
    <i>
      <x v="5"/>
    </i>
    <i t="grand">
      <x/>
    </i>
  </rowItems>
  <colItems count="1">
    <i/>
  </colItems>
  <dataFields count="1">
    <dataField name="Sum of Sale Price" fld="13" baseField="8"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24FF94-B818-4BA1-BDF9-1B808CB41DF3}"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8" firstHeaderRow="1" firstDataRow="1" firstDataCol="1"/>
  <pivotFields count="16">
    <pivotField showAll="0"/>
    <pivotField showAll="0"/>
    <pivotField showAll="0"/>
    <pivotField showAll="0"/>
    <pivotField axis="axisRow" showAll="0">
      <items count="6">
        <item x="0"/>
        <item x="3"/>
        <item x="1"/>
        <item x="2"/>
        <item h="1" x="4"/>
        <item t="default"/>
      </items>
    </pivotField>
    <pivotField showAll="0"/>
    <pivotField showAll="0"/>
    <pivotField showAll="0"/>
    <pivotField showAll="0">
      <items count="7">
        <item x="4"/>
        <item x="0"/>
        <item x="1"/>
        <item x="2"/>
        <item x="3"/>
        <item x="5"/>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 Price" fld="13" baseField="4" baseItem="0"/>
  </dataFields>
  <chartFormats count="10">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D9206D-2A92-414B-87F8-855EE311EA9E}"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8" firstHeaderRow="1" firstDataRow="1" firstDataCol="1"/>
  <pivotFields count="16">
    <pivotField showAll="0"/>
    <pivotField showAll="0"/>
    <pivotField showAll="0"/>
    <pivotField showAll="0"/>
    <pivotField showAll="0"/>
    <pivotField axis="axisRow" showAll="0">
      <items count="6">
        <item x="0"/>
        <item x="3"/>
        <item x="2"/>
        <item x="1"/>
        <item h="1" x="4"/>
        <item t="default"/>
      </items>
    </pivotField>
    <pivotField showAll="0"/>
    <pivotField showAll="0"/>
    <pivotField showAll="0">
      <items count="7">
        <item x="4"/>
        <item x="0"/>
        <item x="1"/>
        <item x="2"/>
        <item x="3"/>
        <item x="5"/>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Count of Sale Price" fld="13"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F37CAD-69C4-4627-A17C-B60A9555C340}"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1" firstHeaderRow="1" firstDataRow="1" firstDataCol="1"/>
  <pivotFields count="16">
    <pivotField showAll="0"/>
    <pivotField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8">
    <i>
      <x/>
    </i>
    <i>
      <x v="1"/>
    </i>
    <i>
      <x v="2"/>
    </i>
    <i>
      <x v="3"/>
    </i>
    <i>
      <x v="4"/>
    </i>
    <i>
      <x v="5"/>
    </i>
    <i>
      <x v="6"/>
    </i>
    <i t="grand">
      <x/>
    </i>
  </rowItems>
  <colItems count="1">
    <i/>
  </colItems>
  <dataFields count="1">
    <dataField name="Count of Sale Price" fld="13"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0F0CC8-8C1C-41FF-9609-9EFBC2C699FE}"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C10" firstHeaderRow="0" firstDataRow="1" firstDataCol="1"/>
  <pivotFields count="16">
    <pivotField showAll="0"/>
    <pivotField showAll="0"/>
    <pivotField showAll="0"/>
    <pivotField showAll="0"/>
    <pivotField showAll="0"/>
    <pivotField showAll="0"/>
    <pivotField showAll="0"/>
    <pivotField showAll="0"/>
    <pivotField showAll="0">
      <items count="7">
        <item x="4"/>
        <item x="0"/>
        <item x="1"/>
        <item x="2"/>
        <item x="3"/>
        <item x="5"/>
        <item t="default"/>
      </items>
    </pivotField>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2">
    <field x="15"/>
    <field x="10"/>
  </rowFields>
  <rowItems count="7">
    <i>
      <x v="1"/>
    </i>
    <i>
      <x v="2"/>
    </i>
    <i>
      <x v="3"/>
    </i>
    <i>
      <x v="4"/>
    </i>
    <i>
      <x v="5"/>
    </i>
    <i>
      <x v="6"/>
    </i>
    <i t="grand">
      <x/>
    </i>
  </rowItems>
  <colFields count="1">
    <field x="-2"/>
  </colFields>
  <colItems count="2">
    <i>
      <x/>
    </i>
    <i i="1">
      <x v="1"/>
    </i>
  </colItems>
  <dataFields count="2">
    <dataField name="Sum of Sale Price" fld="13" baseField="15" baseItem="0"/>
    <dataField name="Count of Order ID" fld="9" subtotal="count" baseField="15"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BAAFBC-18AA-441D-B3C2-278515DD5D12}"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6">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s>
  <rowItems count="1">
    <i/>
  </rowItems>
  <colItems count="1">
    <i/>
  </colItems>
  <dataFields count="1">
    <dataField name="Count of Order 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60A317-C781-4F60-BA33-987C4ED586CB}"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pivotFields count="16">
    <pivotField showAll="0"/>
    <pivotField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dataField="1" showAll="0"/>
    <pivotField dataField="1" showAll="0"/>
    <pivotField showAll="0"/>
    <pivotField showAll="0" defaultSubtotal="0"/>
  </pivotFields>
  <rowItems count="1">
    <i/>
  </rowItems>
  <colFields count="1">
    <field x="-2"/>
  </colFields>
  <colItems count="2">
    <i>
      <x/>
    </i>
    <i i="1">
      <x v="1"/>
    </i>
  </colItems>
  <dataFields count="2">
    <dataField name="Sum of Sale Price" fld="13" baseField="0" baseItem="1"/>
    <dataField name="Sum of Unit Sold" fld="1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8393D22-4237-4255-9194-E6BC88B60BEE}" sourceName="Product Name">
  <pivotTables>
    <pivotTable tabId="2" name="PivotTable1"/>
    <pivotTable tabId="3" name="PivotTable2"/>
    <pivotTable tabId="4" name="PivotTable3"/>
    <pivotTable tabId="5" name="PivotTable4"/>
    <pivotTable tabId="6" name="PivotTable5"/>
    <pivotTable tabId="8" name="PivotTable6"/>
  </pivotTables>
  <data>
    <tabular pivotCacheId="1493707050">
      <items count="6">
        <i x="4" s="1"/>
        <i x="0" s="1"/>
        <i x="1" s="1"/>
        <i x="2"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D7F6119-6EC6-4364-B7BB-6AC5BCED4581}" sourceName="Status">
  <pivotTables>
    <pivotTable tabId="2" name="PivotTable1"/>
  </pivotTables>
  <data>
    <tabular pivotCacheId="149370705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4AAB374F-22DF-4C82-A33C-C61BD8FB36F2}" cache="Slicer_Product_Name" caption="Product Name" startItem="3" rowHeight="234950"/>
  <slicer name="Status" xr10:uid="{8ECE3B5C-02C1-4CC3-A0C1-70CFFDC8194B}"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4BC81-DD39-457C-AE34-D0396512DE6D}" name="Table1" displayName="Table1" ref="A1:P936" totalsRowShown="0">
  <autoFilter ref="A1:P936" xr:uid="{CB1E6E7A-C880-48ED-BABA-EAAF660A3464}"/>
  <tableColumns count="16">
    <tableColumn id="1" xr3:uid="{6D31F2B9-2751-4C3B-AF63-5D5E9A3121C5}" name="Column1" dataDxfId="4"/>
    <tableColumn id="2" xr3:uid="{529638F6-6883-4E3F-9544-3516DA0CED41}" name="First Name"/>
    <tableColumn id="3" xr3:uid="{2D4BE5F4-FAFF-45E1-9845-7AC06E1DEB53}" name="Last Name"/>
    <tableColumn id="4" xr3:uid="{EA489B76-E2CD-481C-9DD1-3FF81667BD1C}" name="Country"/>
    <tableColumn id="16" xr3:uid="{28087970-BC6E-489D-8246-7AEA487FEDAA}" name="Region"/>
    <tableColumn id="5" xr3:uid="{D009CB34-4AF1-441C-959E-9D0FF9F2704E}" name="State"/>
    <tableColumn id="18" xr3:uid="{F133C191-2780-4A3C-87AB-A13A46514BAF}" name="column12" dataDxfId="3">
      <calculatedColumnFormula>UPPER(Table1[[#This Row],[State]])</calculatedColumnFormula>
    </tableColumn>
    <tableColumn id="6" xr3:uid="{3231E408-1106-4CC7-8BF2-3E88B90D217A}" name="Postal Code"/>
    <tableColumn id="7" xr3:uid="{9F12D810-2E59-441C-90AF-9DD7573AFF29}" name="Email ID"/>
    <tableColumn id="8" xr3:uid="{178110BB-4789-4B81-A971-FB9EE0A81043}" name="Product Name"/>
    <tableColumn id="9" xr3:uid="{2B1F0A22-5EC7-4D38-AD59-1FF146A3CE3A}" name="Order ID"/>
    <tableColumn id="10" xr3:uid="{142420C6-863A-418B-BA6A-277AC4FED548}" name="Order Date" dataDxfId="2"/>
    <tableColumn id="11" xr3:uid="{8528CABA-4EDA-48A3-AFD7-638F3D408558}" name="Ship Date" dataDxfId="1"/>
    <tableColumn id="12" xr3:uid="{FE35CFD7-EDDC-463E-B115-9E53652B17D0}" name="Unit Sold"/>
    <tableColumn id="13" xr3:uid="{7B12B215-A1B0-49FB-AA33-9856E97F35BC}" name="Sale Price" dataDxfId="0">
      <calculatedColumnFormula array="1">_xlfn.IFS(J2="Dell Inspiron 15",66989,J2="Lenovo IdeaPad Slim 3i",34690,J2="Mi NoteBook Ultra",57999,J2="Samsung Galaxy Go",36990,J2="Acer Aspire 3",38980)</calculatedColumnFormula>
    </tableColumn>
    <tableColumn id="14" xr3:uid="{2FEA36F2-A446-46BE-A904-6D6002C0584C}"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BC4D280-F439-4352-AB5A-B7941A53985A}" sourceName="Order Date">
  <pivotTables>
    <pivotTable tabId="2" name="PivotTable1"/>
  </pivotTables>
  <state minimalRefreshVersion="6" lastRefreshVersion="6" pivotCacheId="1493707050" filterType="unknown">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16A9293-19C6-4A70-9DCB-68542AE849A6}" cache="NativeTimeline_Order_Date" caption="Order Date" level="2" selectionLevel="2" scrollPosition="2020-06-07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03B9C-530B-4B96-8138-123A018F6582}">
  <dimension ref="A3:B10"/>
  <sheetViews>
    <sheetView workbookViewId="0">
      <selection activeCell="AA26" sqref="AA26"/>
    </sheetView>
  </sheetViews>
  <sheetFormatPr defaultRowHeight="15" x14ac:dyDescent="0.25"/>
  <cols>
    <col min="1" max="1" width="19.85546875" bestFit="1" customWidth="1"/>
    <col min="2" max="2" width="15.5703125" bestFit="1" customWidth="1"/>
  </cols>
  <sheetData>
    <row r="3" spans="1:2" x14ac:dyDescent="0.25">
      <c r="A3" s="5" t="s">
        <v>1040</v>
      </c>
      <c r="B3" t="s">
        <v>1044</v>
      </c>
    </row>
    <row r="4" spans="1:2" x14ac:dyDescent="0.25">
      <c r="A4" s="6" t="s">
        <v>1026</v>
      </c>
      <c r="B4">
        <v>6938440</v>
      </c>
    </row>
    <row r="5" spans="1:2" x14ac:dyDescent="0.25">
      <c r="A5" s="6" t="s">
        <v>1022</v>
      </c>
      <c r="B5">
        <v>12861888</v>
      </c>
    </row>
    <row r="6" spans="1:2" x14ac:dyDescent="0.25">
      <c r="A6" s="6" t="s">
        <v>1023</v>
      </c>
      <c r="B6">
        <v>2844580</v>
      </c>
    </row>
    <row r="7" spans="1:2" x14ac:dyDescent="0.25">
      <c r="A7" s="6" t="s">
        <v>1024</v>
      </c>
      <c r="B7">
        <v>8119860</v>
      </c>
    </row>
    <row r="8" spans="1:2" x14ac:dyDescent="0.25">
      <c r="A8" s="6" t="s">
        <v>1025</v>
      </c>
      <c r="B8">
        <v>3994920</v>
      </c>
    </row>
    <row r="9" spans="1:2" x14ac:dyDescent="0.25">
      <c r="A9" s="6" t="s">
        <v>1041</v>
      </c>
      <c r="B9" t="e">
        <v>#N/A</v>
      </c>
    </row>
    <row r="10" spans="1:2" x14ac:dyDescent="0.25">
      <c r="A10" s="6" t="s">
        <v>1042</v>
      </c>
      <c r="B10" t="e">
        <v>#N/A</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3E75-CD44-4B7B-8976-782B5FD4FB17}">
  <dimension ref="A3:B8"/>
  <sheetViews>
    <sheetView workbookViewId="0">
      <selection activeCell="L8" sqref="L8"/>
    </sheetView>
  </sheetViews>
  <sheetFormatPr defaultRowHeight="15" x14ac:dyDescent="0.25"/>
  <cols>
    <col min="1" max="1" width="12.5703125" bestFit="1" customWidth="1"/>
    <col min="2" max="2" width="15.5703125" bestFit="1" customWidth="1"/>
  </cols>
  <sheetData>
    <row r="3" spans="1:2" x14ac:dyDescent="0.25">
      <c r="A3" s="5" t="s">
        <v>1040</v>
      </c>
      <c r="B3" t="s">
        <v>1044</v>
      </c>
    </row>
    <row r="4" spans="1:2" x14ac:dyDescent="0.25">
      <c r="A4" s="6" t="s">
        <v>1033</v>
      </c>
      <c r="B4">
        <v>10621809</v>
      </c>
    </row>
    <row r="5" spans="1:2" x14ac:dyDescent="0.25">
      <c r="A5" s="6" t="s">
        <v>1036</v>
      </c>
      <c r="B5">
        <v>6595677</v>
      </c>
    </row>
    <row r="6" spans="1:2" x14ac:dyDescent="0.25">
      <c r="A6" s="6" t="s">
        <v>1034</v>
      </c>
      <c r="B6">
        <v>4961551</v>
      </c>
    </row>
    <row r="7" spans="1:2" x14ac:dyDescent="0.25">
      <c r="A7" s="6" t="s">
        <v>1035</v>
      </c>
      <c r="B7">
        <v>12580651</v>
      </c>
    </row>
    <row r="8" spans="1:2" x14ac:dyDescent="0.25">
      <c r="A8" s="6" t="s">
        <v>1042</v>
      </c>
      <c r="B8">
        <v>34759688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2B8C8-2AFA-48A0-A7E3-2848C0E4D85D}">
  <dimension ref="A3:B8"/>
  <sheetViews>
    <sheetView topLeftCell="A3" workbookViewId="0">
      <selection activeCell="L19" sqref="L19"/>
    </sheetView>
  </sheetViews>
  <sheetFormatPr defaultRowHeight="15" x14ac:dyDescent="0.25"/>
  <cols>
    <col min="1" max="1" width="12.5703125" bestFit="1" customWidth="1"/>
    <col min="2" max="2" width="16.85546875" bestFit="1" customWidth="1"/>
  </cols>
  <sheetData>
    <row r="3" spans="1:2" x14ac:dyDescent="0.25">
      <c r="A3" s="5" t="s">
        <v>1040</v>
      </c>
      <c r="B3" t="s">
        <v>1043</v>
      </c>
    </row>
    <row r="4" spans="1:2" x14ac:dyDescent="0.25">
      <c r="A4" s="6" t="s">
        <v>1009</v>
      </c>
      <c r="B4">
        <v>215</v>
      </c>
    </row>
    <row r="5" spans="1:2" x14ac:dyDescent="0.25">
      <c r="A5" s="6" t="s">
        <v>1012</v>
      </c>
      <c r="B5">
        <v>131</v>
      </c>
    </row>
    <row r="6" spans="1:2" x14ac:dyDescent="0.25">
      <c r="A6" s="6" t="s">
        <v>1011</v>
      </c>
      <c r="B6">
        <v>255</v>
      </c>
    </row>
    <row r="7" spans="1:2" x14ac:dyDescent="0.25">
      <c r="A7" s="6" t="s">
        <v>1010</v>
      </c>
      <c r="B7">
        <v>99</v>
      </c>
    </row>
    <row r="8" spans="1:2" x14ac:dyDescent="0.25">
      <c r="A8" s="6" t="s">
        <v>1042</v>
      </c>
      <c r="B8">
        <v>700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5194-C669-46B6-A08E-25E2E0524F64}">
  <dimension ref="A3:B11"/>
  <sheetViews>
    <sheetView workbookViewId="0">
      <selection activeCell="M23" sqref="M23"/>
    </sheetView>
  </sheetViews>
  <sheetFormatPr defaultRowHeight="15" x14ac:dyDescent="0.25"/>
  <cols>
    <col min="1" max="1" width="12.5703125" bestFit="1" customWidth="1"/>
    <col min="2" max="2" width="16.85546875" bestFit="1" customWidth="1"/>
  </cols>
  <sheetData>
    <row r="3" spans="1:2" x14ac:dyDescent="0.25">
      <c r="A3" s="5" t="s">
        <v>1040</v>
      </c>
      <c r="B3" t="s">
        <v>1043</v>
      </c>
    </row>
    <row r="4" spans="1:2" x14ac:dyDescent="0.25">
      <c r="A4" s="6" t="s">
        <v>1045</v>
      </c>
      <c r="B4">
        <v>235</v>
      </c>
    </row>
    <row r="5" spans="1:2" x14ac:dyDescent="0.25">
      <c r="A5" s="6" t="s">
        <v>645</v>
      </c>
      <c r="B5">
        <v>154</v>
      </c>
    </row>
    <row r="6" spans="1:2" x14ac:dyDescent="0.25">
      <c r="A6" s="6" t="s">
        <v>1046</v>
      </c>
      <c r="B6">
        <v>69</v>
      </c>
    </row>
    <row r="7" spans="1:2" x14ac:dyDescent="0.25">
      <c r="A7" s="6" t="s">
        <v>1047</v>
      </c>
      <c r="B7">
        <v>95</v>
      </c>
    </row>
    <row r="8" spans="1:2" x14ac:dyDescent="0.25">
      <c r="A8" s="6" t="s">
        <v>1048</v>
      </c>
      <c r="B8">
        <v>127</v>
      </c>
    </row>
    <row r="9" spans="1:2" x14ac:dyDescent="0.25">
      <c r="A9" s="6" t="s">
        <v>693</v>
      </c>
      <c r="B9">
        <v>167</v>
      </c>
    </row>
    <row r="10" spans="1:2" x14ac:dyDescent="0.25">
      <c r="A10" s="6" t="s">
        <v>1049</v>
      </c>
      <c r="B10">
        <v>88</v>
      </c>
    </row>
    <row r="11" spans="1:2" x14ac:dyDescent="0.25">
      <c r="A11" s="6" t="s">
        <v>1042</v>
      </c>
      <c r="B11">
        <v>935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7F3B8-511B-4545-AE72-7ADFE4024991}">
  <dimension ref="A3:C10"/>
  <sheetViews>
    <sheetView workbookViewId="0">
      <selection activeCell="A3" sqref="A3"/>
    </sheetView>
  </sheetViews>
  <sheetFormatPr defaultRowHeight="15" x14ac:dyDescent="0.25"/>
  <cols>
    <col min="1" max="1" width="12.5703125" bestFit="1" customWidth="1"/>
    <col min="2" max="2" width="15.5703125" bestFit="1" customWidth="1"/>
    <col min="3" max="3" width="15.85546875" bestFit="1" customWidth="1"/>
  </cols>
  <sheetData>
    <row r="3" spans="1:3" x14ac:dyDescent="0.25">
      <c r="A3" s="5" t="s">
        <v>1040</v>
      </c>
      <c r="B3" t="s">
        <v>1044</v>
      </c>
      <c r="C3" t="s">
        <v>1050</v>
      </c>
    </row>
    <row r="4" spans="1:3" x14ac:dyDescent="0.25">
      <c r="A4" s="6" t="s">
        <v>645</v>
      </c>
      <c r="B4">
        <v>7645177</v>
      </c>
      <c r="C4">
        <v>154</v>
      </c>
    </row>
    <row r="5" spans="1:3" x14ac:dyDescent="0.25">
      <c r="A5" s="6" t="s">
        <v>1046</v>
      </c>
      <c r="B5">
        <v>3362008</v>
      </c>
      <c r="C5">
        <v>69</v>
      </c>
    </row>
    <row r="6" spans="1:3" x14ac:dyDescent="0.25">
      <c r="A6" s="6" t="s">
        <v>1047</v>
      </c>
      <c r="B6">
        <v>4678337</v>
      </c>
      <c r="C6">
        <v>95</v>
      </c>
    </row>
    <row r="7" spans="1:3" x14ac:dyDescent="0.25">
      <c r="A7" s="6" t="s">
        <v>1048</v>
      </c>
      <c r="B7">
        <v>6374418</v>
      </c>
      <c r="C7">
        <v>127</v>
      </c>
    </row>
    <row r="8" spans="1:3" x14ac:dyDescent="0.25">
      <c r="A8" s="6" t="s">
        <v>693</v>
      </c>
      <c r="B8">
        <v>8393328</v>
      </c>
      <c r="C8">
        <v>167</v>
      </c>
    </row>
    <row r="9" spans="1:3" x14ac:dyDescent="0.25">
      <c r="A9" s="6" t="s">
        <v>1049</v>
      </c>
      <c r="B9">
        <v>4306420</v>
      </c>
      <c r="C9">
        <v>88</v>
      </c>
    </row>
    <row r="10" spans="1:3" x14ac:dyDescent="0.25">
      <c r="A10" s="6" t="s">
        <v>1042</v>
      </c>
      <c r="B10">
        <v>34759688</v>
      </c>
      <c r="C10">
        <v>700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7A6E-6363-4CFD-9ECD-9676BAC55408}">
  <dimension ref="A3:A4"/>
  <sheetViews>
    <sheetView workbookViewId="0">
      <selection activeCell="A3" sqref="A3"/>
    </sheetView>
  </sheetViews>
  <sheetFormatPr defaultRowHeight="15" x14ac:dyDescent="0.25"/>
  <cols>
    <col min="1" max="1" width="15.85546875" bestFit="1" customWidth="1"/>
  </cols>
  <sheetData>
    <row r="3" spans="1:1" x14ac:dyDescent="0.25">
      <c r="A3" t="s">
        <v>1050</v>
      </c>
    </row>
    <row r="4" spans="1:1" x14ac:dyDescent="0.25">
      <c r="A4">
        <v>700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D63-7AAC-41F9-8ADC-10526C66322B}">
  <dimension ref="A3:B4"/>
  <sheetViews>
    <sheetView workbookViewId="0">
      <selection activeCell="A3" sqref="A3"/>
    </sheetView>
  </sheetViews>
  <sheetFormatPr defaultRowHeight="15" x14ac:dyDescent="0.25"/>
  <cols>
    <col min="1" max="1" width="15.5703125" bestFit="1" customWidth="1"/>
    <col min="2" max="2" width="15.28515625" bestFit="1" customWidth="1"/>
  </cols>
  <sheetData>
    <row r="3" spans="1:2" x14ac:dyDescent="0.25">
      <c r="A3" t="s">
        <v>1044</v>
      </c>
      <c r="B3" t="s">
        <v>1051</v>
      </c>
    </row>
    <row r="4" spans="1:2" x14ac:dyDescent="0.25">
      <c r="A4" t="e">
        <v>#N/A</v>
      </c>
      <c r="B4">
        <v>3762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FF5E-D10B-46F3-94AE-007D99D574F8}">
  <dimension ref="A1"/>
  <sheetViews>
    <sheetView showGridLines="0" tabSelected="1" zoomScale="18" zoomScaleNormal="78" workbookViewId="0">
      <selection activeCell="AG36" sqref="AG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6E7A-C880-48ED-BABA-EAAF660A3464}">
  <dimension ref="A1:Q936"/>
  <sheetViews>
    <sheetView topLeftCell="A2" workbookViewId="0">
      <selection sqref="A1:P701"/>
    </sheetView>
  </sheetViews>
  <sheetFormatPr defaultRowHeight="15" x14ac:dyDescent="0.25"/>
  <cols>
    <col min="1" max="1" width="13.28515625" customWidth="1"/>
    <col min="2" max="3" width="11.7109375" customWidth="1"/>
    <col min="4" max="5" width="16.28515625" customWidth="1"/>
    <col min="6" max="8" width="15.140625" customWidth="1"/>
    <col min="9" max="9" width="33.140625" bestFit="1" customWidth="1"/>
    <col min="10" max="10" width="26.5703125" customWidth="1"/>
    <col min="11" max="11" width="10.7109375" customWidth="1"/>
    <col min="12" max="12" width="12" customWidth="1"/>
    <col min="13" max="13" width="11.140625" customWidth="1"/>
    <col min="14" max="14" width="10.5703125" customWidth="1"/>
    <col min="15" max="15" width="10.85546875" customWidth="1"/>
    <col min="16" max="17" width="9.7109375" bestFit="1" customWidth="1"/>
  </cols>
  <sheetData>
    <row r="1" spans="1:17" x14ac:dyDescent="0.25">
      <c r="A1" t="s">
        <v>1031</v>
      </c>
      <c r="B1" s="2" t="s">
        <v>0</v>
      </c>
      <c r="C1" s="2" t="s">
        <v>1</v>
      </c>
      <c r="D1" t="s">
        <v>1037</v>
      </c>
      <c r="E1" t="s">
        <v>1038</v>
      </c>
      <c r="F1" t="s">
        <v>1008</v>
      </c>
      <c r="G1" t="s">
        <v>1039</v>
      </c>
      <c r="H1" s="3" t="s">
        <v>1013</v>
      </c>
      <c r="I1" t="s">
        <v>1007</v>
      </c>
      <c r="J1" s="2" t="s">
        <v>1021</v>
      </c>
      <c r="K1" s="3" t="s">
        <v>1027</v>
      </c>
      <c r="L1" s="1" t="s">
        <v>1018</v>
      </c>
      <c r="M1" s="1" t="s">
        <v>1030</v>
      </c>
      <c r="N1" t="s">
        <v>1019</v>
      </c>
      <c r="O1" s="4" t="s">
        <v>1020</v>
      </c>
      <c r="P1" s="2" t="s">
        <v>1028</v>
      </c>
    </row>
    <row r="2" spans="1:17" x14ac:dyDescent="0.25">
      <c r="A2">
        <v>17943</v>
      </c>
      <c r="B2" t="s">
        <v>2</v>
      </c>
      <c r="C2" t="s">
        <v>3</v>
      </c>
      <c r="D2" t="s">
        <v>1032</v>
      </c>
      <c r="E2" t="s">
        <v>1033</v>
      </c>
      <c r="F2" t="s">
        <v>1009</v>
      </c>
      <c r="G2" t="str">
        <f>UPPER(Table1[[#This Row],[State]])</f>
        <v>BIHAR</v>
      </c>
      <c r="H2" t="s">
        <v>1014</v>
      </c>
      <c r="I2" t="s">
        <v>4</v>
      </c>
      <c r="J2" t="s">
        <v>1022</v>
      </c>
      <c r="K2">
        <v>4817</v>
      </c>
      <c r="L2" s="1">
        <v>43837</v>
      </c>
      <c r="M2" s="1">
        <v>43838</v>
      </c>
      <c r="N2">
        <v>4</v>
      </c>
      <c r="O2" s="4" cm="1">
        <f t="array" ref="O2">_xlfn.IFS(J2="Dell Inspiron 15",66989,J2="Lenovo IdeaPad Slim 3i",34690,J2="Mi NoteBook Ultra",57999,J2="Samsung Galaxy Go",36990,J2="Acer Aspire 3",38980)</f>
        <v>66989</v>
      </c>
      <c r="P2" t="s">
        <v>1029</v>
      </c>
    </row>
    <row r="3" spans="1:17" x14ac:dyDescent="0.25">
      <c r="A3">
        <v>23903</v>
      </c>
      <c r="B3" t="s">
        <v>5</v>
      </c>
      <c r="C3" t="s">
        <v>6</v>
      </c>
      <c r="D3" t="s">
        <v>1032</v>
      </c>
      <c r="E3" t="s">
        <v>1034</v>
      </c>
      <c r="F3" t="s">
        <v>1010</v>
      </c>
      <c r="G3" t="str">
        <f>UPPER(Table1[[#This Row],[State]])</f>
        <v>PUDUCHERRY</v>
      </c>
      <c r="H3" t="s">
        <v>1015</v>
      </c>
      <c r="I3" t="s">
        <v>7</v>
      </c>
      <c r="J3" t="s">
        <v>1023</v>
      </c>
      <c r="K3">
        <v>5033</v>
      </c>
      <c r="L3" s="1">
        <v>43995</v>
      </c>
      <c r="M3" s="1">
        <v>43997</v>
      </c>
      <c r="N3">
        <v>9</v>
      </c>
      <c r="O3" s="4" cm="1">
        <f t="array" ref="O3">_xlfn.IFS(J3="Dell Inspiron 15",66989,J3="Lenovo IdeaPad Slim 3i",34690,J3="Mi NoteBook Ultra",57999,J3="Samsung Galaxy Go",36990,J3="Acer Aspire 3",38980)</f>
        <v>34690</v>
      </c>
      <c r="P3" t="s">
        <v>1029</v>
      </c>
      <c r="Q3" s="1"/>
    </row>
    <row r="4" spans="1:17" x14ac:dyDescent="0.25">
      <c r="A4">
        <v>13607</v>
      </c>
      <c r="B4" t="s">
        <v>2</v>
      </c>
      <c r="C4" t="s">
        <v>8</v>
      </c>
      <c r="D4" t="s">
        <v>1032</v>
      </c>
      <c r="E4" t="s">
        <v>1033</v>
      </c>
      <c r="F4" t="s">
        <v>1009</v>
      </c>
      <c r="G4" t="str">
        <f>UPPER(Table1[[#This Row],[State]])</f>
        <v>BIHAR</v>
      </c>
      <c r="H4" t="s">
        <v>1014</v>
      </c>
      <c r="I4" t="s">
        <v>9</v>
      </c>
      <c r="J4" t="s">
        <v>1024</v>
      </c>
      <c r="K4">
        <v>4799</v>
      </c>
      <c r="L4" s="1">
        <v>43876</v>
      </c>
      <c r="M4" s="1">
        <v>43878</v>
      </c>
      <c r="N4">
        <v>4</v>
      </c>
      <c r="O4" s="4" cm="1">
        <f t="array" ref="O4">_xlfn.IFS(J4="Dell Inspiron 15",66989,J4="Lenovo IdeaPad Slim 3i",34690,J4="Mi NoteBook Ultra",57999,J4="Samsung Galaxy Go",36990,J4="Acer Aspire 3",38980)</f>
        <v>57999</v>
      </c>
      <c r="P4" t="s">
        <v>1029</v>
      </c>
      <c r="Q4" s="1"/>
    </row>
    <row r="5" spans="1:17" x14ac:dyDescent="0.25">
      <c r="A5">
        <v>13208</v>
      </c>
      <c r="B5" t="s">
        <v>10</v>
      </c>
      <c r="C5" t="s">
        <v>11</v>
      </c>
      <c r="D5" t="s">
        <v>1032</v>
      </c>
      <c r="E5" t="s">
        <v>1035</v>
      </c>
      <c r="F5" t="s">
        <v>1011</v>
      </c>
      <c r="G5" t="str">
        <f>UPPER(Table1[[#This Row],[State]])</f>
        <v>GUJARAT</v>
      </c>
      <c r="H5" t="s">
        <v>1016</v>
      </c>
      <c r="I5" t="s">
        <v>12</v>
      </c>
      <c r="J5" t="s">
        <v>1025</v>
      </c>
      <c r="K5">
        <v>4653</v>
      </c>
      <c r="L5" s="1">
        <v>43963</v>
      </c>
      <c r="M5" s="1">
        <v>43965</v>
      </c>
      <c r="N5">
        <v>9</v>
      </c>
      <c r="O5" s="4" cm="1">
        <f t="array" ref="O5">_xlfn.IFS(J5="Dell Inspiron 15",66989,J5="Lenovo IdeaPad Slim 3i",34690,J5="Mi NoteBook Ultra",57999,J5="Samsung Galaxy Go",36990,J5="Acer Aspire 3",38980)</f>
        <v>36990</v>
      </c>
      <c r="P5" t="s">
        <v>1029</v>
      </c>
      <c r="Q5" s="1"/>
    </row>
    <row r="6" spans="1:17" x14ac:dyDescent="0.25">
      <c r="A6">
        <v>13939</v>
      </c>
      <c r="B6" t="s">
        <v>13</v>
      </c>
      <c r="C6" t="s">
        <v>14</v>
      </c>
      <c r="D6" t="s">
        <v>1032</v>
      </c>
      <c r="E6" t="s">
        <v>1035</v>
      </c>
      <c r="F6" t="s">
        <v>1011</v>
      </c>
      <c r="G6" t="str">
        <f>UPPER(Table1[[#This Row],[State]])</f>
        <v>GUJARAT</v>
      </c>
      <c r="H6" t="s">
        <v>1016</v>
      </c>
      <c r="I6" t="s">
        <v>15</v>
      </c>
      <c r="J6" t="s">
        <v>1026</v>
      </c>
      <c r="K6">
        <v>4682</v>
      </c>
      <c r="L6" s="1">
        <v>43963</v>
      </c>
      <c r="M6" s="1">
        <v>43964</v>
      </c>
      <c r="N6">
        <v>5</v>
      </c>
      <c r="O6" s="4" cm="1">
        <f t="array" ref="O6">_xlfn.IFS(J6="Dell Inspiron 15",66989,J6="Lenovo IdeaPad Slim 3i",34690,J6="Mi NoteBook Ultra",57999,J6="Samsung Galaxy Go",36990,J6="Acer Aspire 3",38980)</f>
        <v>38980</v>
      </c>
      <c r="P6" t="s">
        <v>1029</v>
      </c>
      <c r="Q6" s="1"/>
    </row>
    <row r="7" spans="1:17" x14ac:dyDescent="0.25">
      <c r="A7">
        <v>23848</v>
      </c>
      <c r="B7" t="s">
        <v>16</v>
      </c>
      <c r="C7" t="s">
        <v>17</v>
      </c>
      <c r="D7" t="s">
        <v>1032</v>
      </c>
      <c r="E7" t="s">
        <v>1036</v>
      </c>
      <c r="F7" t="s">
        <v>1012</v>
      </c>
      <c r="G7" t="str">
        <f>UPPER(Table1[[#This Row],[State]])</f>
        <v>DELHI</v>
      </c>
      <c r="H7" t="s">
        <v>1017</v>
      </c>
      <c r="I7" t="s">
        <v>18</v>
      </c>
      <c r="J7" t="s">
        <v>1022</v>
      </c>
      <c r="K7">
        <v>4708</v>
      </c>
      <c r="L7" s="1">
        <v>43963</v>
      </c>
      <c r="M7" s="1">
        <v>43964</v>
      </c>
      <c r="N7">
        <v>8</v>
      </c>
      <c r="O7" s="4" cm="1">
        <f t="array" ref="O7">_xlfn.IFS(J7="Dell Inspiron 15",66989,J7="Lenovo IdeaPad Slim 3i",34690,J7="Mi NoteBook Ultra",57999,J7="Samsung Galaxy Go",36990,J7="Acer Aspire 3",38980)</f>
        <v>66989</v>
      </c>
      <c r="P7" t="s">
        <v>1029</v>
      </c>
      <c r="Q7" s="1"/>
    </row>
    <row r="8" spans="1:17" x14ac:dyDescent="0.25">
      <c r="A8">
        <v>12638</v>
      </c>
      <c r="B8" t="s">
        <v>19</v>
      </c>
      <c r="C8" t="s">
        <v>20</v>
      </c>
      <c r="D8" t="s">
        <v>1032</v>
      </c>
      <c r="E8" t="s">
        <v>1033</v>
      </c>
      <c r="F8" t="s">
        <v>1009</v>
      </c>
      <c r="G8" t="str">
        <f>UPPER(Table1[[#This Row],[State]])</f>
        <v>BIHAR</v>
      </c>
      <c r="H8" t="s">
        <v>1014</v>
      </c>
      <c r="I8" t="s">
        <v>21</v>
      </c>
      <c r="J8" t="s">
        <v>1024</v>
      </c>
      <c r="K8">
        <v>5252</v>
      </c>
      <c r="L8" s="1">
        <v>43963</v>
      </c>
      <c r="M8" s="1">
        <v>43964</v>
      </c>
      <c r="N8">
        <v>6</v>
      </c>
      <c r="O8" s="4" cm="1">
        <f t="array" ref="O8">_xlfn.IFS(J8="Dell Inspiron 15",66989,J8="Lenovo IdeaPad Slim 3i",34690,J8="Mi NoteBook Ultra",57999,J8="Samsung Galaxy Go",36990,J8="Acer Aspire 3",38980)</f>
        <v>57999</v>
      </c>
      <c r="P8" t="s">
        <v>1029</v>
      </c>
      <c r="Q8" s="1"/>
    </row>
    <row r="9" spans="1:17" x14ac:dyDescent="0.25">
      <c r="A9">
        <v>16642</v>
      </c>
      <c r="B9" t="s">
        <v>22</v>
      </c>
      <c r="C9" t="s">
        <v>23</v>
      </c>
      <c r="D9" t="s">
        <v>1032</v>
      </c>
      <c r="E9" t="s">
        <v>1034</v>
      </c>
      <c r="F9" t="s">
        <v>1010</v>
      </c>
      <c r="G9" t="str">
        <f>UPPER(Table1[[#This Row],[State]])</f>
        <v>PUDUCHERRY</v>
      </c>
      <c r="H9" t="s">
        <v>1015</v>
      </c>
      <c r="I9" t="s">
        <v>24</v>
      </c>
      <c r="J9" t="s">
        <v>1026</v>
      </c>
      <c r="K9">
        <v>5470</v>
      </c>
      <c r="L9" s="1">
        <v>43929</v>
      </c>
      <c r="M9" s="1">
        <v>43930</v>
      </c>
      <c r="N9">
        <v>9</v>
      </c>
      <c r="O9" s="4" cm="1">
        <f t="array" ref="O9">_xlfn.IFS(J9="Dell Inspiron 15",66989,J9="Lenovo IdeaPad Slim 3i",34690,J9="Mi NoteBook Ultra",57999,J9="Samsung Galaxy Go",36990,J9="Acer Aspire 3",38980)</f>
        <v>38980</v>
      </c>
      <c r="P9" t="s">
        <v>1029</v>
      </c>
      <c r="Q9" s="1"/>
    </row>
    <row r="10" spans="1:17" x14ac:dyDescent="0.25">
      <c r="A10">
        <v>13447</v>
      </c>
      <c r="B10" t="s">
        <v>25</v>
      </c>
      <c r="C10" t="s">
        <v>26</v>
      </c>
      <c r="D10" t="s">
        <v>1032</v>
      </c>
      <c r="E10" t="s">
        <v>1033</v>
      </c>
      <c r="F10" t="s">
        <v>1009</v>
      </c>
      <c r="G10" t="str">
        <f>UPPER(Table1[[#This Row],[State]])</f>
        <v>BIHAR</v>
      </c>
      <c r="H10" t="s">
        <v>1014</v>
      </c>
      <c r="I10" t="s">
        <v>27</v>
      </c>
      <c r="J10" t="s">
        <v>1022</v>
      </c>
      <c r="K10">
        <v>4942</v>
      </c>
      <c r="L10" s="1">
        <v>43979</v>
      </c>
      <c r="M10" s="1">
        <v>43979</v>
      </c>
      <c r="N10">
        <v>10</v>
      </c>
      <c r="O10" s="4" cm="1">
        <f t="array" ref="O10">_xlfn.IFS(J10="Dell Inspiron 15",66989,J10="Lenovo IdeaPad Slim 3i",34690,J10="Mi NoteBook Ultra",57999,J10="Samsung Galaxy Go",36990,J10="Acer Aspire 3",38980)</f>
        <v>66989</v>
      </c>
      <c r="P10" t="s">
        <v>1029</v>
      </c>
      <c r="Q10" s="1"/>
    </row>
    <row r="11" spans="1:17" x14ac:dyDescent="0.25">
      <c r="A11">
        <v>25227</v>
      </c>
      <c r="B11" t="s">
        <v>28</v>
      </c>
      <c r="C11" t="s">
        <v>29</v>
      </c>
      <c r="D11" t="s">
        <v>1032</v>
      </c>
      <c r="E11" t="s">
        <v>1035</v>
      </c>
      <c r="F11" t="s">
        <v>1011</v>
      </c>
      <c r="G11" t="str">
        <f>UPPER(Table1[[#This Row],[State]])</f>
        <v>GUJARAT</v>
      </c>
      <c r="H11" t="s">
        <v>1016</v>
      </c>
      <c r="I11" t="s">
        <v>30</v>
      </c>
      <c r="J11" t="s">
        <v>1023</v>
      </c>
      <c r="K11">
        <v>5459</v>
      </c>
      <c r="L11" s="1">
        <v>43873</v>
      </c>
      <c r="M11" s="1">
        <v>43876</v>
      </c>
      <c r="N11">
        <v>3</v>
      </c>
      <c r="O11" s="4" cm="1">
        <f t="array" ref="O11">_xlfn.IFS(J11="Dell Inspiron 15",66989,J11="Lenovo IdeaPad Slim 3i",34690,J11="Mi NoteBook Ultra",57999,J11="Samsung Galaxy Go",36990,J11="Acer Aspire 3",38980)</f>
        <v>34690</v>
      </c>
      <c r="P11" t="s">
        <v>1029</v>
      </c>
      <c r="Q11" s="1"/>
    </row>
    <row r="12" spans="1:17" x14ac:dyDescent="0.25">
      <c r="A12">
        <v>13535</v>
      </c>
      <c r="B12" t="s">
        <v>31</v>
      </c>
      <c r="C12" t="s">
        <v>32</v>
      </c>
      <c r="D12" t="s">
        <v>1032</v>
      </c>
      <c r="E12" t="s">
        <v>1035</v>
      </c>
      <c r="F12" t="s">
        <v>1011</v>
      </c>
      <c r="G12" t="str">
        <f>UPPER(Table1[[#This Row],[State]])</f>
        <v>GUJARAT</v>
      </c>
      <c r="H12" t="s">
        <v>1016</v>
      </c>
      <c r="I12" t="s">
        <v>33</v>
      </c>
      <c r="J12" t="s">
        <v>1025</v>
      </c>
      <c r="K12">
        <v>4617</v>
      </c>
      <c r="L12" s="1">
        <v>43873</v>
      </c>
      <c r="M12" s="1">
        <v>43875</v>
      </c>
      <c r="N12">
        <v>2</v>
      </c>
      <c r="O12" s="4" cm="1">
        <f t="array" ref="O12">_xlfn.IFS(J12="Dell Inspiron 15",66989,J12="Lenovo IdeaPad Slim 3i",34690,J12="Mi NoteBook Ultra",57999,J12="Samsung Galaxy Go",36990,J12="Acer Aspire 3",38980)</f>
        <v>36990</v>
      </c>
      <c r="P12" t="s">
        <v>1029</v>
      </c>
      <c r="Q12" s="1"/>
    </row>
    <row r="13" spans="1:17" x14ac:dyDescent="0.25">
      <c r="A13">
        <v>19772</v>
      </c>
      <c r="B13" t="s">
        <v>34</v>
      </c>
      <c r="C13" t="s">
        <v>35</v>
      </c>
      <c r="D13" t="s">
        <v>1032</v>
      </c>
      <c r="E13" t="s">
        <v>1036</v>
      </c>
      <c r="F13" t="s">
        <v>1012</v>
      </c>
      <c r="G13" t="str">
        <f>UPPER(Table1[[#This Row],[State]])</f>
        <v>DELHI</v>
      </c>
      <c r="H13" t="s">
        <v>1017</v>
      </c>
      <c r="I13" t="s">
        <v>36</v>
      </c>
      <c r="J13" t="s">
        <v>1022</v>
      </c>
      <c r="K13">
        <v>5467</v>
      </c>
      <c r="L13" s="1">
        <v>43966</v>
      </c>
      <c r="M13" s="1">
        <v>43967</v>
      </c>
      <c r="N13">
        <v>1</v>
      </c>
      <c r="O13" s="4" cm="1">
        <f t="array" ref="O13">_xlfn.IFS(J13="Dell Inspiron 15",66989,J13="Lenovo IdeaPad Slim 3i",34690,J13="Mi NoteBook Ultra",57999,J13="Samsung Galaxy Go",36990,J13="Acer Aspire 3",38980)</f>
        <v>66989</v>
      </c>
      <c r="P13" t="s">
        <v>1029</v>
      </c>
      <c r="Q13" s="1"/>
    </row>
    <row r="14" spans="1:17" x14ac:dyDescent="0.25">
      <c r="A14">
        <v>19957</v>
      </c>
      <c r="B14" t="s">
        <v>37</v>
      </c>
      <c r="C14" t="s">
        <v>38</v>
      </c>
      <c r="D14" t="s">
        <v>1032</v>
      </c>
      <c r="E14" t="s">
        <v>1033</v>
      </c>
      <c r="F14" t="s">
        <v>1009</v>
      </c>
      <c r="G14" t="str">
        <f>UPPER(Table1[[#This Row],[State]])</f>
        <v>BIHAR</v>
      </c>
      <c r="H14" t="s">
        <v>1014</v>
      </c>
      <c r="I14" t="s">
        <v>39</v>
      </c>
      <c r="J14" t="s">
        <v>1026</v>
      </c>
      <c r="K14">
        <v>5503</v>
      </c>
      <c r="L14" s="1">
        <v>43972</v>
      </c>
      <c r="M14" s="1">
        <v>43974</v>
      </c>
      <c r="N14">
        <v>9</v>
      </c>
      <c r="O14" s="4" cm="1">
        <f t="array" ref="O14">_xlfn.IFS(J14="Dell Inspiron 15",66989,J14="Lenovo IdeaPad Slim 3i",34690,J14="Mi NoteBook Ultra",57999,J14="Samsung Galaxy Go",36990,J14="Acer Aspire 3",38980)</f>
        <v>38980</v>
      </c>
      <c r="P14" t="s">
        <v>1029</v>
      </c>
      <c r="Q14" s="1"/>
    </row>
    <row r="15" spans="1:17" x14ac:dyDescent="0.25">
      <c r="A15">
        <v>12996</v>
      </c>
      <c r="B15" t="s">
        <v>40</v>
      </c>
      <c r="C15" t="s">
        <v>41</v>
      </c>
      <c r="D15" t="s">
        <v>1032</v>
      </c>
      <c r="E15" t="s">
        <v>1034</v>
      </c>
      <c r="F15" t="s">
        <v>1010</v>
      </c>
      <c r="G15" t="str">
        <f>UPPER(Table1[[#This Row],[State]])</f>
        <v>PUDUCHERRY</v>
      </c>
      <c r="H15" t="s">
        <v>1015</v>
      </c>
      <c r="I15" t="s">
        <v>42</v>
      </c>
      <c r="J15" t="s">
        <v>1024</v>
      </c>
      <c r="K15">
        <v>5366</v>
      </c>
      <c r="L15" s="1">
        <v>43966</v>
      </c>
      <c r="M15" s="1">
        <v>43967</v>
      </c>
      <c r="N15">
        <v>10</v>
      </c>
      <c r="O15" s="4" cm="1">
        <f t="array" ref="O15">_xlfn.IFS(J15="Dell Inspiron 15",66989,J15="Lenovo IdeaPad Slim 3i",34690,J15="Mi NoteBook Ultra",57999,J15="Samsung Galaxy Go",36990,J15="Acer Aspire 3",38980)</f>
        <v>57999</v>
      </c>
      <c r="P15" t="s">
        <v>1029</v>
      </c>
      <c r="Q15" s="1"/>
    </row>
    <row r="16" spans="1:17" x14ac:dyDescent="0.25">
      <c r="A16">
        <v>24631</v>
      </c>
      <c r="B16" t="s">
        <v>43</v>
      </c>
      <c r="C16" t="s">
        <v>44</v>
      </c>
      <c r="D16" t="s">
        <v>1032</v>
      </c>
      <c r="E16" t="s">
        <v>1033</v>
      </c>
      <c r="F16" t="s">
        <v>1009</v>
      </c>
      <c r="G16" t="str">
        <f>UPPER(Table1[[#This Row],[State]])</f>
        <v>BIHAR</v>
      </c>
      <c r="H16" t="s">
        <v>1014</v>
      </c>
      <c r="I16" t="s">
        <v>45</v>
      </c>
      <c r="J16" t="s">
        <v>1025</v>
      </c>
      <c r="K16">
        <v>5093</v>
      </c>
      <c r="L16" s="1">
        <v>43972</v>
      </c>
      <c r="M16" s="1">
        <v>43973</v>
      </c>
      <c r="N16">
        <v>4</v>
      </c>
      <c r="O16" s="4" cm="1">
        <f t="array" ref="O16">_xlfn.IFS(J16="Dell Inspiron 15",66989,J16="Lenovo IdeaPad Slim 3i",34690,J16="Mi NoteBook Ultra",57999,J16="Samsung Galaxy Go",36990,J16="Acer Aspire 3",38980)</f>
        <v>36990</v>
      </c>
      <c r="P16" t="s">
        <v>1029</v>
      </c>
      <c r="Q16" s="1"/>
    </row>
    <row r="17" spans="1:17" x14ac:dyDescent="0.25">
      <c r="A17">
        <v>17872</v>
      </c>
      <c r="B17" t="s">
        <v>46</v>
      </c>
      <c r="C17" t="s">
        <v>47</v>
      </c>
      <c r="D17" t="s">
        <v>1032</v>
      </c>
      <c r="E17" t="s">
        <v>1035</v>
      </c>
      <c r="F17" t="s">
        <v>1011</v>
      </c>
      <c r="G17" t="str">
        <f>UPPER(Table1[[#This Row],[State]])</f>
        <v>GUJARAT</v>
      </c>
      <c r="H17" t="s">
        <v>1016</v>
      </c>
      <c r="I17" t="s">
        <v>48</v>
      </c>
      <c r="J17" t="s">
        <v>1026</v>
      </c>
      <c r="K17">
        <v>4989</v>
      </c>
      <c r="L17" s="1">
        <v>43972</v>
      </c>
      <c r="M17" s="1">
        <v>43974</v>
      </c>
      <c r="N17">
        <v>4</v>
      </c>
      <c r="O17" s="4" cm="1">
        <f t="array" ref="O17">_xlfn.IFS(J17="Dell Inspiron 15",66989,J17="Lenovo IdeaPad Slim 3i",34690,J17="Mi NoteBook Ultra",57999,J17="Samsung Galaxy Go",36990,J17="Acer Aspire 3",38980)</f>
        <v>38980</v>
      </c>
      <c r="P17" t="s">
        <v>1029</v>
      </c>
      <c r="Q17" s="1"/>
    </row>
    <row r="18" spans="1:17" x14ac:dyDescent="0.25">
      <c r="A18">
        <v>19514</v>
      </c>
      <c r="B18" t="s">
        <v>49</v>
      </c>
      <c r="C18" t="s">
        <v>8</v>
      </c>
      <c r="D18" t="s">
        <v>1032</v>
      </c>
      <c r="E18" t="s">
        <v>1035</v>
      </c>
      <c r="F18" t="s">
        <v>1011</v>
      </c>
      <c r="G18" t="str">
        <f>UPPER(Table1[[#This Row],[State]])</f>
        <v>GUJARAT</v>
      </c>
      <c r="H18" t="s">
        <v>1016</v>
      </c>
      <c r="I18" t="s">
        <v>50</v>
      </c>
      <c r="J18" t="s">
        <v>1022</v>
      </c>
      <c r="K18">
        <v>4791</v>
      </c>
      <c r="L18" s="1">
        <v>43858</v>
      </c>
      <c r="M18" s="1">
        <v>43859</v>
      </c>
      <c r="N18">
        <v>1</v>
      </c>
      <c r="O18" s="4" cm="1">
        <f t="array" ref="O18">_xlfn.IFS(J18="Dell Inspiron 15",66989,J18="Lenovo IdeaPad Slim 3i",34690,J18="Mi NoteBook Ultra",57999,J18="Samsung Galaxy Go",36990,J18="Acer Aspire 3",38980)</f>
        <v>66989</v>
      </c>
      <c r="P18" t="s">
        <v>1029</v>
      </c>
      <c r="Q18" s="1"/>
    </row>
    <row r="19" spans="1:17" x14ac:dyDescent="0.25">
      <c r="A19">
        <v>12708</v>
      </c>
      <c r="B19" t="s">
        <v>51</v>
      </c>
      <c r="C19" t="s">
        <v>52</v>
      </c>
      <c r="D19" t="s">
        <v>1032</v>
      </c>
      <c r="E19" t="s">
        <v>1036</v>
      </c>
      <c r="F19" t="s">
        <v>1012</v>
      </c>
      <c r="G19" t="str">
        <f>UPPER(Table1[[#This Row],[State]])</f>
        <v>DELHI</v>
      </c>
      <c r="H19" t="s">
        <v>1017</v>
      </c>
      <c r="I19" t="s">
        <v>53</v>
      </c>
      <c r="J19" t="s">
        <v>1024</v>
      </c>
      <c r="K19">
        <v>5490</v>
      </c>
      <c r="L19" s="1">
        <v>43858</v>
      </c>
      <c r="M19" s="1">
        <v>43860</v>
      </c>
      <c r="N19">
        <v>4</v>
      </c>
      <c r="O19" s="4" cm="1">
        <f t="array" ref="O19">_xlfn.IFS(J19="Dell Inspiron 15",66989,J19="Lenovo IdeaPad Slim 3i",34690,J19="Mi NoteBook Ultra",57999,J19="Samsung Galaxy Go",36990,J19="Acer Aspire 3",38980)</f>
        <v>57999</v>
      </c>
      <c r="P19" t="s">
        <v>1029</v>
      </c>
      <c r="Q19" s="1"/>
    </row>
    <row r="20" spans="1:17" x14ac:dyDescent="0.25">
      <c r="A20">
        <v>20646</v>
      </c>
      <c r="B20" t="s">
        <v>54</v>
      </c>
      <c r="C20" t="s">
        <v>26</v>
      </c>
      <c r="D20" t="s">
        <v>1032</v>
      </c>
      <c r="E20" t="s">
        <v>1033</v>
      </c>
      <c r="F20" t="s">
        <v>1009</v>
      </c>
      <c r="G20" t="str">
        <f>UPPER(Table1[[#This Row],[State]])</f>
        <v>BIHAR</v>
      </c>
      <c r="H20" t="s">
        <v>1014</v>
      </c>
      <c r="I20" t="s">
        <v>55</v>
      </c>
      <c r="J20" t="s">
        <v>1026</v>
      </c>
      <c r="K20">
        <v>4620</v>
      </c>
      <c r="L20" s="1">
        <v>43953</v>
      </c>
      <c r="M20" s="1">
        <v>43955</v>
      </c>
      <c r="N20">
        <v>6</v>
      </c>
      <c r="O20" s="4" cm="1">
        <f t="array" ref="O20">_xlfn.IFS(J20="Dell Inspiron 15",66989,J20="Lenovo IdeaPad Slim 3i",34690,J20="Mi NoteBook Ultra",57999,J20="Samsung Galaxy Go",36990,J20="Acer Aspire 3",38980)</f>
        <v>38980</v>
      </c>
      <c r="P20" t="s">
        <v>1029</v>
      </c>
      <c r="Q20" s="1"/>
    </row>
    <row r="21" spans="1:17" x14ac:dyDescent="0.25">
      <c r="A21">
        <v>20233</v>
      </c>
      <c r="B21" t="s">
        <v>56</v>
      </c>
      <c r="C21" t="s">
        <v>57</v>
      </c>
      <c r="D21" t="s">
        <v>1032</v>
      </c>
      <c r="E21" t="s">
        <v>1034</v>
      </c>
      <c r="F21" t="s">
        <v>1010</v>
      </c>
      <c r="G21" t="str">
        <f>UPPER(Table1[[#This Row],[State]])</f>
        <v>PUDUCHERRY</v>
      </c>
      <c r="H21" t="s">
        <v>1015</v>
      </c>
      <c r="I21" t="s">
        <v>58</v>
      </c>
      <c r="J21" t="s">
        <v>1022</v>
      </c>
      <c r="K21">
        <v>4644</v>
      </c>
      <c r="L21" s="1">
        <v>43883</v>
      </c>
      <c r="M21" s="1">
        <v>43884</v>
      </c>
      <c r="N21">
        <v>5</v>
      </c>
      <c r="O21" s="4" cm="1">
        <f t="array" ref="O21">_xlfn.IFS(J21="Dell Inspiron 15",66989,J21="Lenovo IdeaPad Slim 3i",34690,J21="Mi NoteBook Ultra",57999,J21="Samsung Galaxy Go",36990,J21="Acer Aspire 3",38980)</f>
        <v>66989</v>
      </c>
      <c r="P21" t="s">
        <v>1029</v>
      </c>
      <c r="Q21" s="1"/>
    </row>
    <row r="22" spans="1:17" x14ac:dyDescent="0.25">
      <c r="A22">
        <v>16712</v>
      </c>
      <c r="B22" t="s">
        <v>59</v>
      </c>
      <c r="C22" t="s">
        <v>32</v>
      </c>
      <c r="D22" t="s">
        <v>1032</v>
      </c>
      <c r="E22" t="s">
        <v>1033</v>
      </c>
      <c r="F22" t="s">
        <v>1009</v>
      </c>
      <c r="G22" t="str">
        <f>UPPER(Table1[[#This Row],[State]])</f>
        <v>BIHAR</v>
      </c>
      <c r="H22" t="s">
        <v>1014</v>
      </c>
      <c r="I22" t="s">
        <v>60</v>
      </c>
      <c r="J22" t="s">
        <v>1023</v>
      </c>
      <c r="K22">
        <v>4741</v>
      </c>
      <c r="L22" s="1">
        <v>43917</v>
      </c>
      <c r="M22" s="1">
        <v>43918</v>
      </c>
      <c r="N22">
        <v>9</v>
      </c>
      <c r="O22" s="4" cm="1">
        <f t="array" ref="O22">_xlfn.IFS(J22="Dell Inspiron 15",66989,J22="Lenovo IdeaPad Slim 3i",34690,J22="Mi NoteBook Ultra",57999,J22="Samsung Galaxy Go",36990,J22="Acer Aspire 3",38980)</f>
        <v>34690</v>
      </c>
      <c r="P22" t="s">
        <v>1029</v>
      </c>
      <c r="Q22" s="1"/>
    </row>
    <row r="23" spans="1:17" x14ac:dyDescent="0.25">
      <c r="A23">
        <v>14932</v>
      </c>
      <c r="B23" t="s">
        <v>61</v>
      </c>
      <c r="C23" t="s">
        <v>20</v>
      </c>
      <c r="D23" t="s">
        <v>1032</v>
      </c>
      <c r="E23" t="s">
        <v>1035</v>
      </c>
      <c r="F23" t="s">
        <v>1011</v>
      </c>
      <c r="G23" t="str">
        <f>UPPER(Table1[[#This Row],[State]])</f>
        <v>GUJARAT</v>
      </c>
      <c r="H23" t="s">
        <v>1016</v>
      </c>
      <c r="I23" t="s">
        <v>62</v>
      </c>
      <c r="J23" t="s">
        <v>1024</v>
      </c>
      <c r="K23">
        <v>4582</v>
      </c>
      <c r="L23" s="1">
        <v>43850</v>
      </c>
      <c r="M23" s="1">
        <v>43852</v>
      </c>
      <c r="N23">
        <v>7</v>
      </c>
      <c r="O23" s="4" cm="1">
        <f t="array" ref="O23">_xlfn.IFS(J23="Dell Inspiron 15",66989,J23="Lenovo IdeaPad Slim 3i",34690,J23="Mi NoteBook Ultra",57999,J23="Samsung Galaxy Go",36990,J23="Acer Aspire 3",38980)</f>
        <v>57999</v>
      </c>
      <c r="P23" t="s">
        <v>1029</v>
      </c>
      <c r="Q23" s="1"/>
    </row>
    <row r="24" spans="1:17" x14ac:dyDescent="0.25">
      <c r="A24">
        <v>18589</v>
      </c>
      <c r="B24" t="s">
        <v>49</v>
      </c>
      <c r="C24" t="s">
        <v>63</v>
      </c>
      <c r="D24" t="s">
        <v>1032</v>
      </c>
      <c r="E24" t="s">
        <v>1035</v>
      </c>
      <c r="F24" t="s">
        <v>1011</v>
      </c>
      <c r="G24" t="str">
        <f>UPPER(Table1[[#This Row],[State]])</f>
        <v>GUJARAT</v>
      </c>
      <c r="H24" t="s">
        <v>1016</v>
      </c>
      <c r="I24" t="s">
        <v>64</v>
      </c>
      <c r="J24" t="s">
        <v>1025</v>
      </c>
      <c r="K24">
        <v>5466</v>
      </c>
      <c r="L24" s="1">
        <v>43902</v>
      </c>
      <c r="M24" s="1">
        <v>43909</v>
      </c>
      <c r="N24">
        <v>6</v>
      </c>
      <c r="O24" s="4" cm="1">
        <f t="array" ref="O24">_xlfn.IFS(J24="Dell Inspiron 15",66989,J24="Lenovo IdeaPad Slim 3i",34690,J24="Mi NoteBook Ultra",57999,J24="Samsung Galaxy Go",36990,J24="Acer Aspire 3",38980)</f>
        <v>36990</v>
      </c>
      <c r="P24" t="s">
        <v>1029</v>
      </c>
      <c r="Q24" s="1"/>
    </row>
    <row r="25" spans="1:17" x14ac:dyDescent="0.25">
      <c r="A25">
        <v>21399</v>
      </c>
      <c r="B25" t="s">
        <v>65</v>
      </c>
      <c r="C25" t="s">
        <v>66</v>
      </c>
      <c r="D25" t="s">
        <v>1032</v>
      </c>
      <c r="E25" t="s">
        <v>1036</v>
      </c>
      <c r="F25" t="s">
        <v>1012</v>
      </c>
      <c r="G25" t="str">
        <f>UPPER(Table1[[#This Row],[State]])</f>
        <v>DELHI</v>
      </c>
      <c r="H25" t="s">
        <v>1017</v>
      </c>
      <c r="I25" t="s">
        <v>67</v>
      </c>
      <c r="J25" t="s">
        <v>1026</v>
      </c>
      <c r="K25">
        <v>5274</v>
      </c>
      <c r="L25" s="1">
        <v>43997</v>
      </c>
      <c r="M25" s="1">
        <v>43999</v>
      </c>
      <c r="N25">
        <v>10</v>
      </c>
      <c r="O25" s="4" cm="1">
        <f t="array" ref="O25">_xlfn.IFS(J25="Dell Inspiron 15",66989,J25="Lenovo IdeaPad Slim 3i",34690,J25="Mi NoteBook Ultra",57999,J25="Samsung Galaxy Go",36990,J25="Acer Aspire 3",38980)</f>
        <v>38980</v>
      </c>
      <c r="P25" t="s">
        <v>1029</v>
      </c>
      <c r="Q25" s="1"/>
    </row>
    <row r="26" spans="1:17" x14ac:dyDescent="0.25">
      <c r="A26">
        <v>19322</v>
      </c>
      <c r="B26" t="s">
        <v>68</v>
      </c>
      <c r="C26" t="s">
        <v>69</v>
      </c>
      <c r="D26" t="s">
        <v>1032</v>
      </c>
      <c r="E26" t="s">
        <v>1036</v>
      </c>
      <c r="F26" t="s">
        <v>1012</v>
      </c>
      <c r="G26" t="str">
        <f>UPPER(Table1[[#This Row],[State]])</f>
        <v>DELHI</v>
      </c>
      <c r="H26" t="s">
        <v>1017</v>
      </c>
      <c r="I26" t="s">
        <v>70</v>
      </c>
      <c r="J26" t="s">
        <v>1022</v>
      </c>
      <c r="K26">
        <v>5445</v>
      </c>
      <c r="L26" s="1">
        <v>43997</v>
      </c>
      <c r="M26" s="1">
        <v>43998</v>
      </c>
      <c r="N26">
        <v>10</v>
      </c>
      <c r="O26" s="4" cm="1">
        <f t="array" ref="O26">_xlfn.IFS(J26="Dell Inspiron 15",66989,J26="Lenovo IdeaPad Slim 3i",34690,J26="Mi NoteBook Ultra",57999,J26="Samsung Galaxy Go",36990,J26="Acer Aspire 3",38980)</f>
        <v>66989</v>
      </c>
      <c r="P26" t="s">
        <v>1029</v>
      </c>
      <c r="Q26" s="1"/>
    </row>
    <row r="27" spans="1:17" x14ac:dyDescent="0.25">
      <c r="A27">
        <v>15970</v>
      </c>
      <c r="B27" t="s">
        <v>34</v>
      </c>
      <c r="C27" t="s">
        <v>71</v>
      </c>
      <c r="D27" t="s">
        <v>1032</v>
      </c>
      <c r="E27" t="s">
        <v>1033</v>
      </c>
      <c r="F27" t="s">
        <v>1009</v>
      </c>
      <c r="G27" t="str">
        <f>UPPER(Table1[[#This Row],[State]])</f>
        <v>BIHAR</v>
      </c>
      <c r="H27" t="s">
        <v>1014</v>
      </c>
      <c r="I27" t="s">
        <v>72</v>
      </c>
      <c r="J27" t="s">
        <v>1024</v>
      </c>
      <c r="K27">
        <v>4701</v>
      </c>
      <c r="L27" s="1">
        <v>43961</v>
      </c>
      <c r="M27" s="1">
        <v>43962</v>
      </c>
      <c r="N27">
        <v>9</v>
      </c>
      <c r="O27" s="4" cm="1">
        <f t="array" ref="O27">_xlfn.IFS(J27="Dell Inspiron 15",66989,J27="Lenovo IdeaPad Slim 3i",34690,J27="Mi NoteBook Ultra",57999,J27="Samsung Galaxy Go",36990,J27="Acer Aspire 3",38980)</f>
        <v>57999</v>
      </c>
      <c r="P27" t="s">
        <v>1029</v>
      </c>
      <c r="Q27" s="1"/>
    </row>
    <row r="28" spans="1:17" x14ac:dyDescent="0.25">
      <c r="A28">
        <v>16407</v>
      </c>
      <c r="B28" t="s">
        <v>73</v>
      </c>
      <c r="C28" t="s">
        <v>74</v>
      </c>
      <c r="D28" t="s">
        <v>1032</v>
      </c>
      <c r="E28" t="s">
        <v>1034</v>
      </c>
      <c r="F28" t="s">
        <v>1010</v>
      </c>
      <c r="G28" t="str">
        <f>UPPER(Table1[[#This Row],[State]])</f>
        <v>PUDUCHERRY</v>
      </c>
      <c r="H28" t="s">
        <v>1015</v>
      </c>
      <c r="I28" t="s">
        <v>75</v>
      </c>
      <c r="J28" t="s">
        <v>1026</v>
      </c>
      <c r="K28">
        <v>5327</v>
      </c>
      <c r="L28" s="1">
        <v>43900</v>
      </c>
      <c r="M28" s="1">
        <v>43900</v>
      </c>
      <c r="N28">
        <v>6</v>
      </c>
      <c r="O28" s="4" cm="1">
        <f t="array" ref="O28">_xlfn.IFS(J28="Dell Inspiron 15",66989,J28="Lenovo IdeaPad Slim 3i",34690,J28="Mi NoteBook Ultra",57999,J28="Samsung Galaxy Go",36990,J28="Acer Aspire 3",38980)</f>
        <v>38980</v>
      </c>
      <c r="P28" t="s">
        <v>1029</v>
      </c>
      <c r="Q28" s="1"/>
    </row>
    <row r="29" spans="1:17" x14ac:dyDescent="0.25">
      <c r="A29">
        <v>12827</v>
      </c>
      <c r="B29" t="s">
        <v>76</v>
      </c>
      <c r="C29" t="s">
        <v>77</v>
      </c>
      <c r="D29" t="s">
        <v>1032</v>
      </c>
      <c r="E29" t="s">
        <v>1033</v>
      </c>
      <c r="F29" t="s">
        <v>1009</v>
      </c>
      <c r="G29" t="str">
        <f>UPPER(Table1[[#This Row],[State]])</f>
        <v>BIHAR</v>
      </c>
      <c r="H29" t="s">
        <v>1014</v>
      </c>
      <c r="I29" t="s">
        <v>78</v>
      </c>
      <c r="J29" t="s">
        <v>1022</v>
      </c>
      <c r="K29">
        <v>4580</v>
      </c>
      <c r="L29" s="1">
        <v>43858</v>
      </c>
      <c r="M29" s="1">
        <v>43860</v>
      </c>
      <c r="N29">
        <v>10</v>
      </c>
      <c r="O29" s="4" cm="1">
        <f t="array" ref="O29">_xlfn.IFS(J29="Dell Inspiron 15",66989,J29="Lenovo IdeaPad Slim 3i",34690,J29="Mi NoteBook Ultra",57999,J29="Samsung Galaxy Go",36990,J29="Acer Aspire 3",38980)</f>
        <v>66989</v>
      </c>
      <c r="P29" t="s">
        <v>1029</v>
      </c>
      <c r="Q29" s="1"/>
    </row>
    <row r="30" spans="1:17" x14ac:dyDescent="0.25">
      <c r="A30">
        <v>20694</v>
      </c>
      <c r="B30" t="s">
        <v>79</v>
      </c>
      <c r="C30" t="s">
        <v>80</v>
      </c>
      <c r="D30" t="s">
        <v>1032</v>
      </c>
      <c r="E30" t="s">
        <v>1035</v>
      </c>
      <c r="F30" t="s">
        <v>1011</v>
      </c>
      <c r="G30" t="str">
        <f>UPPER(Table1[[#This Row],[State]])</f>
        <v>GUJARAT</v>
      </c>
      <c r="H30" t="s">
        <v>1016</v>
      </c>
      <c r="I30" t="s">
        <v>81</v>
      </c>
      <c r="J30" t="s">
        <v>1023</v>
      </c>
      <c r="K30">
        <v>4946</v>
      </c>
      <c r="L30" s="1">
        <v>43900</v>
      </c>
      <c r="M30" s="1">
        <v>43901</v>
      </c>
      <c r="N30">
        <v>3</v>
      </c>
      <c r="O30" s="4" cm="1">
        <f t="array" ref="O30">_xlfn.IFS(J30="Dell Inspiron 15",66989,J30="Lenovo IdeaPad Slim 3i",34690,J30="Mi NoteBook Ultra",57999,J30="Samsung Galaxy Go",36990,J30="Acer Aspire 3",38980)</f>
        <v>34690</v>
      </c>
      <c r="P30" t="s">
        <v>1029</v>
      </c>
      <c r="Q30" s="1"/>
    </row>
    <row r="31" spans="1:17" x14ac:dyDescent="0.25">
      <c r="A31">
        <v>14837</v>
      </c>
      <c r="B31" t="s">
        <v>82</v>
      </c>
      <c r="C31" t="s">
        <v>71</v>
      </c>
      <c r="D31" t="s">
        <v>1032</v>
      </c>
      <c r="E31" t="s">
        <v>1035</v>
      </c>
      <c r="F31" t="s">
        <v>1011</v>
      </c>
      <c r="G31" t="str">
        <f>UPPER(Table1[[#This Row],[State]])</f>
        <v>GUJARAT</v>
      </c>
      <c r="H31" t="s">
        <v>1016</v>
      </c>
      <c r="I31" t="s">
        <v>83</v>
      </c>
      <c r="J31" t="s">
        <v>1025</v>
      </c>
      <c r="K31">
        <v>5356</v>
      </c>
      <c r="L31" s="1">
        <v>43941</v>
      </c>
      <c r="M31" s="1">
        <v>43942</v>
      </c>
      <c r="N31">
        <v>1</v>
      </c>
      <c r="O31" s="4" cm="1">
        <f t="array" ref="O31">_xlfn.IFS(J31="Dell Inspiron 15",66989,J31="Lenovo IdeaPad Slim 3i",34690,J31="Mi NoteBook Ultra",57999,J31="Samsung Galaxy Go",36990,J31="Acer Aspire 3",38980)</f>
        <v>36990</v>
      </c>
      <c r="P31" t="s">
        <v>1029</v>
      </c>
      <c r="Q31" s="1"/>
    </row>
    <row r="32" spans="1:17" x14ac:dyDescent="0.25">
      <c r="A32">
        <v>18465</v>
      </c>
      <c r="B32" t="s">
        <v>84</v>
      </c>
      <c r="C32" t="s">
        <v>85</v>
      </c>
      <c r="D32" t="s">
        <v>1032</v>
      </c>
      <c r="E32" t="s">
        <v>1036</v>
      </c>
      <c r="F32" t="s">
        <v>1012</v>
      </c>
      <c r="G32" t="str">
        <f>UPPER(Table1[[#This Row],[State]])</f>
        <v>DELHI</v>
      </c>
      <c r="H32" t="s">
        <v>1017</v>
      </c>
      <c r="I32" t="s">
        <v>86</v>
      </c>
      <c r="J32" t="s">
        <v>1022</v>
      </c>
      <c r="K32">
        <v>5322</v>
      </c>
      <c r="L32" s="1">
        <v>43941</v>
      </c>
      <c r="M32" s="1">
        <v>43942</v>
      </c>
      <c r="N32">
        <v>4</v>
      </c>
      <c r="O32" s="4" cm="1">
        <f t="array" ref="O32">_xlfn.IFS(J32="Dell Inspiron 15",66989,J32="Lenovo IdeaPad Slim 3i",34690,J32="Mi NoteBook Ultra",57999,J32="Samsung Galaxy Go",36990,J32="Acer Aspire 3",38980)</f>
        <v>66989</v>
      </c>
      <c r="P32" t="s">
        <v>1029</v>
      </c>
      <c r="Q32" s="1"/>
    </row>
    <row r="33" spans="1:17" x14ac:dyDescent="0.25">
      <c r="A33">
        <v>19734</v>
      </c>
      <c r="B33" t="s">
        <v>73</v>
      </c>
      <c r="C33" t="s">
        <v>87</v>
      </c>
      <c r="D33" t="s">
        <v>1032</v>
      </c>
      <c r="E33" t="s">
        <v>1033</v>
      </c>
      <c r="F33" t="s">
        <v>1009</v>
      </c>
      <c r="G33" t="str">
        <f>UPPER(Table1[[#This Row],[State]])</f>
        <v>BIHAR</v>
      </c>
      <c r="H33" t="s">
        <v>1014</v>
      </c>
      <c r="I33" t="s">
        <v>88</v>
      </c>
      <c r="J33" t="s">
        <v>1026</v>
      </c>
      <c r="K33">
        <v>4730</v>
      </c>
      <c r="L33" s="1">
        <v>43960</v>
      </c>
      <c r="M33" s="1">
        <v>43962</v>
      </c>
      <c r="N33">
        <v>5</v>
      </c>
      <c r="O33" s="4" cm="1">
        <f t="array" ref="O33">_xlfn.IFS(J33="Dell Inspiron 15",66989,J33="Lenovo IdeaPad Slim 3i",34690,J33="Mi NoteBook Ultra",57999,J33="Samsung Galaxy Go",36990,J33="Acer Aspire 3",38980)</f>
        <v>38980</v>
      </c>
      <c r="P33" t="s">
        <v>1029</v>
      </c>
      <c r="Q33" s="1"/>
    </row>
    <row r="34" spans="1:17" x14ac:dyDescent="0.25">
      <c r="A34">
        <v>24154</v>
      </c>
      <c r="B34" t="s">
        <v>89</v>
      </c>
      <c r="C34" t="s">
        <v>90</v>
      </c>
      <c r="D34" t="s">
        <v>1032</v>
      </c>
      <c r="E34" t="s">
        <v>1034</v>
      </c>
      <c r="F34" t="s">
        <v>1010</v>
      </c>
      <c r="G34" t="str">
        <f>UPPER(Table1[[#This Row],[State]])</f>
        <v>PUDUCHERRY</v>
      </c>
      <c r="H34" t="s">
        <v>1015</v>
      </c>
      <c r="I34" t="s">
        <v>91</v>
      </c>
      <c r="J34" t="s">
        <v>1024</v>
      </c>
      <c r="K34">
        <v>5096</v>
      </c>
      <c r="L34" s="1">
        <v>43994</v>
      </c>
      <c r="M34" s="1">
        <v>43996</v>
      </c>
      <c r="N34">
        <v>8</v>
      </c>
      <c r="O34" s="4" cm="1">
        <f t="array" ref="O34">_xlfn.IFS(J34="Dell Inspiron 15",66989,J34="Lenovo IdeaPad Slim 3i",34690,J34="Mi NoteBook Ultra",57999,J34="Samsung Galaxy Go",36990,J34="Acer Aspire 3",38980)</f>
        <v>57999</v>
      </c>
      <c r="P34" t="s">
        <v>1029</v>
      </c>
      <c r="Q34" s="1"/>
    </row>
    <row r="35" spans="1:17" x14ac:dyDescent="0.25">
      <c r="A35">
        <v>20703</v>
      </c>
      <c r="B35" t="s">
        <v>92</v>
      </c>
      <c r="C35" t="s">
        <v>47</v>
      </c>
      <c r="D35" t="s">
        <v>1032</v>
      </c>
      <c r="E35" t="s">
        <v>1033</v>
      </c>
      <c r="F35" t="s">
        <v>1009</v>
      </c>
      <c r="G35" t="str">
        <f>UPPER(Table1[[#This Row],[State]])</f>
        <v>BIHAR</v>
      </c>
      <c r="H35" t="s">
        <v>1014</v>
      </c>
      <c r="I35" t="s">
        <v>93</v>
      </c>
      <c r="J35" t="s">
        <v>1025</v>
      </c>
      <c r="K35">
        <v>5064</v>
      </c>
      <c r="L35" s="1">
        <v>43892</v>
      </c>
      <c r="M35" s="1">
        <v>43894</v>
      </c>
      <c r="N35">
        <v>2</v>
      </c>
      <c r="O35" s="4" cm="1">
        <f t="array" ref="O35">_xlfn.IFS(J35="Dell Inspiron 15",66989,J35="Lenovo IdeaPad Slim 3i",34690,J35="Mi NoteBook Ultra",57999,J35="Samsung Galaxy Go",36990,J35="Acer Aspire 3",38980)</f>
        <v>36990</v>
      </c>
      <c r="P35" t="s">
        <v>1029</v>
      </c>
      <c r="Q35" s="1"/>
    </row>
    <row r="36" spans="1:17" x14ac:dyDescent="0.25">
      <c r="A36">
        <v>18659</v>
      </c>
      <c r="B36" t="s">
        <v>94</v>
      </c>
      <c r="C36" t="s">
        <v>95</v>
      </c>
      <c r="D36" t="s">
        <v>1032</v>
      </c>
      <c r="E36" t="s">
        <v>1035</v>
      </c>
      <c r="F36" t="s">
        <v>1011</v>
      </c>
      <c r="G36" t="str">
        <f>UPPER(Table1[[#This Row],[State]])</f>
        <v>GUJARAT</v>
      </c>
      <c r="H36" t="s">
        <v>1016</v>
      </c>
      <c r="I36" t="s">
        <v>96</v>
      </c>
      <c r="J36" t="s">
        <v>1026</v>
      </c>
      <c r="K36">
        <v>4669</v>
      </c>
      <c r="L36" s="1">
        <v>43892</v>
      </c>
      <c r="M36" s="1">
        <v>43892</v>
      </c>
      <c r="N36">
        <v>3</v>
      </c>
      <c r="O36" s="4" cm="1">
        <f t="array" ref="O36">_xlfn.IFS(J36="Dell Inspiron 15",66989,J36="Lenovo IdeaPad Slim 3i",34690,J36="Mi NoteBook Ultra",57999,J36="Samsung Galaxy Go",36990,J36="Acer Aspire 3",38980)</f>
        <v>38980</v>
      </c>
      <c r="P36" t="s">
        <v>1029</v>
      </c>
      <c r="Q36" s="1"/>
    </row>
    <row r="37" spans="1:17" x14ac:dyDescent="0.25">
      <c r="A37">
        <v>18001</v>
      </c>
      <c r="B37" t="s">
        <v>97</v>
      </c>
      <c r="C37" t="s">
        <v>98</v>
      </c>
      <c r="D37" t="s">
        <v>1032</v>
      </c>
      <c r="E37" t="s">
        <v>1035</v>
      </c>
      <c r="F37" t="s">
        <v>1011</v>
      </c>
      <c r="G37" t="str">
        <f>UPPER(Table1[[#This Row],[State]])</f>
        <v>GUJARAT</v>
      </c>
      <c r="H37" t="s">
        <v>1016</v>
      </c>
      <c r="I37" t="s">
        <v>99</v>
      </c>
      <c r="J37" t="s">
        <v>1022</v>
      </c>
      <c r="K37">
        <v>5169</v>
      </c>
      <c r="L37" s="1">
        <v>43832</v>
      </c>
      <c r="M37" s="1">
        <v>43839</v>
      </c>
      <c r="N37">
        <v>9</v>
      </c>
      <c r="O37" s="4" cm="1">
        <f t="array" ref="O37">_xlfn.IFS(J37="Dell Inspiron 15",66989,J37="Lenovo IdeaPad Slim 3i",34690,J37="Mi NoteBook Ultra",57999,J37="Samsung Galaxy Go",36990,J37="Acer Aspire 3",38980)</f>
        <v>66989</v>
      </c>
      <c r="P37" t="s">
        <v>1029</v>
      </c>
      <c r="Q37" s="1"/>
    </row>
    <row r="38" spans="1:17" x14ac:dyDescent="0.25">
      <c r="A38">
        <v>25486</v>
      </c>
      <c r="B38" t="s">
        <v>100</v>
      </c>
      <c r="C38" t="s">
        <v>101</v>
      </c>
      <c r="D38" t="s">
        <v>1032</v>
      </c>
      <c r="E38" t="s">
        <v>1036</v>
      </c>
      <c r="F38" t="s">
        <v>1012</v>
      </c>
      <c r="G38" t="str">
        <f>UPPER(Table1[[#This Row],[State]])</f>
        <v>DELHI</v>
      </c>
      <c r="H38" t="s">
        <v>1017</v>
      </c>
      <c r="I38" t="s">
        <v>102</v>
      </c>
      <c r="J38" t="s">
        <v>1024</v>
      </c>
      <c r="K38">
        <v>5514</v>
      </c>
      <c r="L38" s="1">
        <v>43832</v>
      </c>
      <c r="M38" s="1">
        <v>43832</v>
      </c>
      <c r="N38">
        <v>8</v>
      </c>
      <c r="O38" s="4" cm="1">
        <f t="array" ref="O38">_xlfn.IFS(J38="Dell Inspiron 15",66989,J38="Lenovo IdeaPad Slim 3i",34690,J38="Mi NoteBook Ultra",57999,J38="Samsung Galaxy Go",36990,J38="Acer Aspire 3",38980)</f>
        <v>57999</v>
      </c>
      <c r="P38" t="s">
        <v>1029</v>
      </c>
      <c r="Q38" s="1"/>
    </row>
    <row r="39" spans="1:17" x14ac:dyDescent="0.25">
      <c r="A39">
        <v>22683</v>
      </c>
      <c r="B39" t="s">
        <v>103</v>
      </c>
      <c r="C39" t="s">
        <v>74</v>
      </c>
      <c r="D39" t="s">
        <v>1032</v>
      </c>
      <c r="E39" t="s">
        <v>1033</v>
      </c>
      <c r="F39" t="s">
        <v>1009</v>
      </c>
      <c r="G39" t="str">
        <f>UPPER(Table1[[#This Row],[State]])</f>
        <v>BIHAR</v>
      </c>
      <c r="H39" t="s">
        <v>1014</v>
      </c>
      <c r="I39" t="s">
        <v>104</v>
      </c>
      <c r="J39" t="s">
        <v>1026</v>
      </c>
      <c r="K39">
        <v>4614</v>
      </c>
      <c r="L39" s="1">
        <v>43832</v>
      </c>
      <c r="M39" s="1">
        <v>43834</v>
      </c>
      <c r="N39">
        <v>10</v>
      </c>
      <c r="O39" s="4" cm="1">
        <f t="array" ref="O39">_xlfn.IFS(J39="Dell Inspiron 15",66989,J39="Lenovo IdeaPad Slim 3i",34690,J39="Mi NoteBook Ultra",57999,J39="Samsung Galaxy Go",36990,J39="Acer Aspire 3",38980)</f>
        <v>38980</v>
      </c>
      <c r="P39" t="s">
        <v>1029</v>
      </c>
      <c r="Q39" s="1"/>
    </row>
    <row r="40" spans="1:17" x14ac:dyDescent="0.25">
      <c r="A40">
        <v>24252</v>
      </c>
      <c r="B40" t="s">
        <v>61</v>
      </c>
      <c r="C40" t="s">
        <v>105</v>
      </c>
      <c r="D40" t="s">
        <v>1032</v>
      </c>
      <c r="E40" t="s">
        <v>1034</v>
      </c>
      <c r="F40" t="s">
        <v>1010</v>
      </c>
      <c r="G40" t="str">
        <f>UPPER(Table1[[#This Row],[State]])</f>
        <v>PUDUCHERRY</v>
      </c>
      <c r="H40" t="s">
        <v>1015</v>
      </c>
      <c r="I40" t="s">
        <v>106</v>
      </c>
      <c r="J40" t="s">
        <v>1022</v>
      </c>
      <c r="K40">
        <v>5508</v>
      </c>
      <c r="L40" s="1">
        <v>43832</v>
      </c>
      <c r="M40" s="1">
        <v>43839</v>
      </c>
      <c r="N40">
        <v>2</v>
      </c>
      <c r="O40" s="4" cm="1">
        <f t="array" ref="O40">_xlfn.IFS(J40="Dell Inspiron 15",66989,J40="Lenovo IdeaPad Slim 3i",34690,J40="Mi NoteBook Ultra",57999,J40="Samsung Galaxy Go",36990,J40="Acer Aspire 3",38980)</f>
        <v>66989</v>
      </c>
      <c r="P40" t="s">
        <v>1029</v>
      </c>
      <c r="Q40" s="1"/>
    </row>
    <row r="41" spans="1:17" x14ac:dyDescent="0.25">
      <c r="A41">
        <v>22872</v>
      </c>
      <c r="B41" t="s">
        <v>43</v>
      </c>
      <c r="C41" t="s">
        <v>107</v>
      </c>
      <c r="D41" t="s">
        <v>1032</v>
      </c>
      <c r="E41" t="s">
        <v>1033</v>
      </c>
      <c r="F41" t="s">
        <v>1009</v>
      </c>
      <c r="G41" t="str">
        <f>UPPER(Table1[[#This Row],[State]])</f>
        <v>BIHAR</v>
      </c>
      <c r="H41" t="s">
        <v>1014</v>
      </c>
      <c r="I41" t="s">
        <v>108</v>
      </c>
      <c r="J41" t="s">
        <v>1023</v>
      </c>
      <c r="K41">
        <v>5386</v>
      </c>
      <c r="L41" s="1">
        <v>43863</v>
      </c>
      <c r="M41" s="1">
        <v>43865</v>
      </c>
      <c r="N41">
        <v>8</v>
      </c>
      <c r="O41" s="4" cm="1">
        <f t="array" ref="O41">_xlfn.IFS(J41="Dell Inspiron 15",66989,J41="Lenovo IdeaPad Slim 3i",34690,J41="Mi NoteBook Ultra",57999,J41="Samsung Galaxy Go",36990,J41="Acer Aspire 3",38980)</f>
        <v>34690</v>
      </c>
      <c r="P41" t="s">
        <v>1029</v>
      </c>
      <c r="Q41" s="1"/>
    </row>
    <row r="42" spans="1:17" x14ac:dyDescent="0.25">
      <c r="A42">
        <v>13324</v>
      </c>
      <c r="B42" t="s">
        <v>109</v>
      </c>
      <c r="C42" t="s">
        <v>110</v>
      </c>
      <c r="D42" t="s">
        <v>1032</v>
      </c>
      <c r="E42" t="s">
        <v>1035</v>
      </c>
      <c r="F42" t="s">
        <v>1011</v>
      </c>
      <c r="G42" t="str">
        <f>UPPER(Table1[[#This Row],[State]])</f>
        <v>GUJARAT</v>
      </c>
      <c r="H42" t="s">
        <v>1016</v>
      </c>
      <c r="I42" t="s">
        <v>111</v>
      </c>
      <c r="J42" t="s">
        <v>1022</v>
      </c>
      <c r="K42">
        <v>4582</v>
      </c>
      <c r="L42" s="1">
        <v>43863</v>
      </c>
      <c r="M42" s="1">
        <v>43865</v>
      </c>
      <c r="N42">
        <v>5</v>
      </c>
      <c r="O42" s="4" cm="1">
        <f t="array" ref="O42">_xlfn.IFS(J42="Dell Inspiron 15",66989,J42="Lenovo IdeaPad Slim 3i",34690,J42="Mi NoteBook Ultra",57999,J42="Samsung Galaxy Go",36990,J42="Acer Aspire 3",38980)</f>
        <v>66989</v>
      </c>
      <c r="P42" t="s">
        <v>1029</v>
      </c>
      <c r="Q42" s="1"/>
    </row>
    <row r="43" spans="1:17" x14ac:dyDescent="0.25">
      <c r="A43">
        <v>20849</v>
      </c>
      <c r="B43" t="s">
        <v>112</v>
      </c>
      <c r="C43" t="s">
        <v>113</v>
      </c>
      <c r="D43" t="s">
        <v>1032</v>
      </c>
      <c r="E43" t="s">
        <v>1035</v>
      </c>
      <c r="F43" t="s">
        <v>1011</v>
      </c>
      <c r="G43" t="str">
        <f>UPPER(Table1[[#This Row],[State]])</f>
        <v>GUJARAT</v>
      </c>
      <c r="H43" t="s">
        <v>1016</v>
      </c>
      <c r="I43" t="s">
        <v>114</v>
      </c>
      <c r="J43" t="s">
        <v>1023</v>
      </c>
      <c r="K43">
        <v>5057</v>
      </c>
      <c r="L43" s="1">
        <v>43905</v>
      </c>
      <c r="M43" s="1">
        <v>43905</v>
      </c>
      <c r="N43">
        <v>7</v>
      </c>
      <c r="O43" s="4" cm="1">
        <f t="array" ref="O43">_xlfn.IFS(J43="Dell Inspiron 15",66989,J43="Lenovo IdeaPad Slim 3i",34690,J43="Mi NoteBook Ultra",57999,J43="Samsung Galaxy Go",36990,J43="Acer Aspire 3",38980)</f>
        <v>34690</v>
      </c>
      <c r="P43" t="s">
        <v>1029</v>
      </c>
      <c r="Q43" s="1"/>
    </row>
    <row r="44" spans="1:17" x14ac:dyDescent="0.25">
      <c r="A44">
        <v>25549</v>
      </c>
      <c r="B44" t="s">
        <v>115</v>
      </c>
      <c r="C44" t="s">
        <v>116</v>
      </c>
      <c r="D44" t="s">
        <v>1032</v>
      </c>
      <c r="E44" t="s">
        <v>1034</v>
      </c>
      <c r="F44" t="s">
        <v>1010</v>
      </c>
      <c r="G44" t="str">
        <f>UPPER(Table1[[#This Row],[State]])</f>
        <v>PUDUCHERRY</v>
      </c>
      <c r="H44" t="s">
        <v>1015</v>
      </c>
      <c r="I44" t="s">
        <v>117</v>
      </c>
      <c r="J44" t="s">
        <v>1024</v>
      </c>
      <c r="K44">
        <v>4854</v>
      </c>
      <c r="L44" s="1">
        <v>43863</v>
      </c>
      <c r="M44" s="1">
        <v>43864</v>
      </c>
      <c r="N44">
        <v>6</v>
      </c>
      <c r="O44" s="4" cm="1">
        <f t="array" ref="O44">_xlfn.IFS(J44="Dell Inspiron 15",66989,J44="Lenovo IdeaPad Slim 3i",34690,J44="Mi NoteBook Ultra",57999,J44="Samsung Galaxy Go",36990,J44="Acer Aspire 3",38980)</f>
        <v>57999</v>
      </c>
      <c r="P44" t="s">
        <v>1029</v>
      </c>
      <c r="Q44" s="1"/>
    </row>
    <row r="45" spans="1:17" x14ac:dyDescent="0.25">
      <c r="A45">
        <v>23288</v>
      </c>
      <c r="B45" t="s">
        <v>56</v>
      </c>
      <c r="C45" t="s">
        <v>118</v>
      </c>
      <c r="D45" t="s">
        <v>1032</v>
      </c>
      <c r="E45" t="s">
        <v>1033</v>
      </c>
      <c r="F45" t="s">
        <v>1009</v>
      </c>
      <c r="G45" t="str">
        <f>UPPER(Table1[[#This Row],[State]])</f>
        <v>BIHAR</v>
      </c>
      <c r="H45" t="s">
        <v>1014</v>
      </c>
      <c r="I45" t="s">
        <v>119</v>
      </c>
      <c r="J45" t="s">
        <v>1025</v>
      </c>
      <c r="K45">
        <v>4901</v>
      </c>
      <c r="L45" s="1">
        <v>43920</v>
      </c>
      <c r="M45" s="1">
        <v>43923</v>
      </c>
      <c r="N45">
        <v>3</v>
      </c>
      <c r="O45" s="4" cm="1">
        <f t="array" ref="O45">_xlfn.IFS(J45="Dell Inspiron 15",66989,J45="Lenovo IdeaPad Slim 3i",34690,J45="Mi NoteBook Ultra",57999,J45="Samsung Galaxy Go",36990,J45="Acer Aspire 3",38980)</f>
        <v>36990</v>
      </c>
      <c r="P45" t="s">
        <v>1029</v>
      </c>
      <c r="Q45" s="1"/>
    </row>
    <row r="46" spans="1:17" x14ac:dyDescent="0.25">
      <c r="A46">
        <v>22066</v>
      </c>
      <c r="B46" t="s">
        <v>120</v>
      </c>
      <c r="C46" t="s">
        <v>105</v>
      </c>
      <c r="D46" t="s">
        <v>1032</v>
      </c>
      <c r="E46" t="s">
        <v>1035</v>
      </c>
      <c r="F46" t="s">
        <v>1011</v>
      </c>
      <c r="G46" t="str">
        <f>UPPER(Table1[[#This Row],[State]])</f>
        <v>GUJARAT</v>
      </c>
      <c r="H46" t="s">
        <v>1016</v>
      </c>
      <c r="I46" t="s">
        <v>121</v>
      </c>
      <c r="J46" t="s">
        <v>1026</v>
      </c>
      <c r="K46">
        <v>4705</v>
      </c>
      <c r="L46" s="1">
        <v>43985</v>
      </c>
      <c r="M46" s="1">
        <v>43990</v>
      </c>
      <c r="N46">
        <v>3</v>
      </c>
      <c r="O46" s="4" cm="1">
        <f t="array" ref="O46">_xlfn.IFS(J46="Dell Inspiron 15",66989,J46="Lenovo IdeaPad Slim 3i",34690,J46="Mi NoteBook Ultra",57999,J46="Samsung Galaxy Go",36990,J46="Acer Aspire 3",38980)</f>
        <v>38980</v>
      </c>
      <c r="P46" t="s">
        <v>1029</v>
      </c>
      <c r="Q46" s="1"/>
    </row>
    <row r="47" spans="1:17" x14ac:dyDescent="0.25">
      <c r="A47">
        <v>18456</v>
      </c>
      <c r="B47" t="s">
        <v>122</v>
      </c>
      <c r="C47" t="s">
        <v>123</v>
      </c>
      <c r="D47" t="s">
        <v>1032</v>
      </c>
      <c r="E47" t="s">
        <v>1035</v>
      </c>
      <c r="F47" t="s">
        <v>1011</v>
      </c>
      <c r="G47" t="str">
        <f>UPPER(Table1[[#This Row],[State]])</f>
        <v>GUJARAT</v>
      </c>
      <c r="H47" t="s">
        <v>1016</v>
      </c>
      <c r="I47" t="s">
        <v>124</v>
      </c>
      <c r="J47" t="s">
        <v>1022</v>
      </c>
      <c r="K47">
        <v>4574</v>
      </c>
      <c r="L47" s="1">
        <v>43912</v>
      </c>
      <c r="M47" s="1">
        <v>43913</v>
      </c>
      <c r="N47">
        <v>5</v>
      </c>
      <c r="O47" s="4" cm="1">
        <f t="array" ref="O47">_xlfn.IFS(J47="Dell Inspiron 15",66989,J47="Lenovo IdeaPad Slim 3i",34690,J47="Mi NoteBook Ultra",57999,J47="Samsung Galaxy Go",36990,J47="Acer Aspire 3",38980)</f>
        <v>66989</v>
      </c>
      <c r="P47" t="s">
        <v>1029</v>
      </c>
      <c r="Q47" s="1"/>
    </row>
    <row r="48" spans="1:17" x14ac:dyDescent="0.25">
      <c r="A48">
        <v>16268</v>
      </c>
      <c r="B48" t="s">
        <v>40</v>
      </c>
      <c r="C48" t="s">
        <v>125</v>
      </c>
      <c r="D48" t="s">
        <v>1032</v>
      </c>
      <c r="E48" t="s">
        <v>1036</v>
      </c>
      <c r="F48" t="s">
        <v>1012</v>
      </c>
      <c r="G48" t="str">
        <f>UPPER(Table1[[#This Row],[State]])</f>
        <v>DELHI</v>
      </c>
      <c r="H48" t="s">
        <v>1017</v>
      </c>
      <c r="I48" t="s">
        <v>126</v>
      </c>
      <c r="J48" t="s">
        <v>1024</v>
      </c>
      <c r="K48">
        <v>4803</v>
      </c>
      <c r="L48" s="1">
        <v>43912</v>
      </c>
      <c r="M48" s="1">
        <v>43915</v>
      </c>
      <c r="N48">
        <v>10</v>
      </c>
      <c r="O48" s="4" cm="1">
        <f t="array" ref="O48">_xlfn.IFS(J48="Dell Inspiron 15",66989,J48="Lenovo IdeaPad Slim 3i",34690,J48="Mi NoteBook Ultra",57999,J48="Samsung Galaxy Go",36990,J48="Acer Aspire 3",38980)</f>
        <v>57999</v>
      </c>
      <c r="P48" t="s">
        <v>1029</v>
      </c>
      <c r="Q48" s="1"/>
    </row>
    <row r="49" spans="1:17" x14ac:dyDescent="0.25">
      <c r="A49">
        <v>13680</v>
      </c>
      <c r="B49" t="s">
        <v>127</v>
      </c>
      <c r="C49" t="s">
        <v>128</v>
      </c>
      <c r="D49" t="s">
        <v>1032</v>
      </c>
      <c r="E49" t="s">
        <v>1033</v>
      </c>
      <c r="F49" t="s">
        <v>1009</v>
      </c>
      <c r="G49" t="str">
        <f>UPPER(Table1[[#This Row],[State]])</f>
        <v>BIHAR</v>
      </c>
      <c r="H49" t="s">
        <v>1014</v>
      </c>
      <c r="I49" t="s">
        <v>129</v>
      </c>
      <c r="J49" t="s">
        <v>1026</v>
      </c>
      <c r="K49">
        <v>5188</v>
      </c>
      <c r="L49" s="1">
        <v>43968</v>
      </c>
      <c r="M49" s="1">
        <v>43969</v>
      </c>
      <c r="N49">
        <v>10</v>
      </c>
      <c r="O49" s="4" cm="1">
        <f t="array" ref="O49">_xlfn.IFS(J49="Dell Inspiron 15",66989,J49="Lenovo IdeaPad Slim 3i",34690,J49="Mi NoteBook Ultra",57999,J49="Samsung Galaxy Go",36990,J49="Acer Aspire 3",38980)</f>
        <v>38980</v>
      </c>
      <c r="P49" t="s">
        <v>1029</v>
      </c>
      <c r="Q49" s="1"/>
    </row>
    <row r="50" spans="1:17" x14ac:dyDescent="0.25">
      <c r="A50">
        <v>17050</v>
      </c>
      <c r="B50" t="s">
        <v>130</v>
      </c>
      <c r="C50" t="s">
        <v>38</v>
      </c>
      <c r="D50" t="s">
        <v>1032</v>
      </c>
      <c r="E50" t="s">
        <v>1034</v>
      </c>
      <c r="F50" t="s">
        <v>1010</v>
      </c>
      <c r="G50" t="str">
        <f>UPPER(Table1[[#This Row],[State]])</f>
        <v>PUDUCHERRY</v>
      </c>
      <c r="H50" t="s">
        <v>1015</v>
      </c>
      <c r="I50" t="s">
        <v>131</v>
      </c>
      <c r="J50" t="s">
        <v>1022</v>
      </c>
      <c r="K50">
        <v>5184</v>
      </c>
      <c r="L50" s="1">
        <v>43879</v>
      </c>
      <c r="M50" s="1">
        <v>43881</v>
      </c>
      <c r="N50">
        <v>1</v>
      </c>
      <c r="O50" s="4" cm="1">
        <f t="array" ref="O50">_xlfn.IFS(J50="Dell Inspiron 15",66989,J50="Lenovo IdeaPad Slim 3i",34690,J50="Mi NoteBook Ultra",57999,J50="Samsung Galaxy Go",36990,J50="Acer Aspire 3",38980)</f>
        <v>66989</v>
      </c>
      <c r="P50" t="s">
        <v>1029</v>
      </c>
      <c r="Q50" s="1"/>
    </row>
    <row r="51" spans="1:17" x14ac:dyDescent="0.25">
      <c r="A51">
        <v>15729</v>
      </c>
      <c r="B51" t="s">
        <v>47</v>
      </c>
      <c r="C51" t="s">
        <v>63</v>
      </c>
      <c r="D51" t="s">
        <v>1032</v>
      </c>
      <c r="E51" t="s">
        <v>1033</v>
      </c>
      <c r="F51" t="s">
        <v>1009</v>
      </c>
      <c r="G51" t="str">
        <f>UPPER(Table1[[#This Row],[State]])</f>
        <v>BIHAR</v>
      </c>
      <c r="H51" t="s">
        <v>1014</v>
      </c>
      <c r="I51" t="s">
        <v>132</v>
      </c>
      <c r="J51" t="s">
        <v>1023</v>
      </c>
      <c r="K51">
        <v>4538</v>
      </c>
      <c r="L51" s="1">
        <v>43894</v>
      </c>
      <c r="M51" s="1">
        <v>43896</v>
      </c>
      <c r="N51">
        <v>8</v>
      </c>
      <c r="O51" s="4" cm="1">
        <f t="array" ref="O51">_xlfn.IFS(J51="Dell Inspiron 15",66989,J51="Lenovo IdeaPad Slim 3i",34690,J51="Mi NoteBook Ultra",57999,J51="Samsung Galaxy Go",36990,J51="Acer Aspire 3",38980)</f>
        <v>34690</v>
      </c>
      <c r="P51" t="s">
        <v>1029</v>
      </c>
      <c r="Q51" s="1"/>
    </row>
    <row r="52" spans="1:17" x14ac:dyDescent="0.25">
      <c r="A52">
        <v>14463</v>
      </c>
      <c r="B52" t="s">
        <v>133</v>
      </c>
      <c r="C52" t="s">
        <v>134</v>
      </c>
      <c r="D52" t="s">
        <v>1032</v>
      </c>
      <c r="E52" t="s">
        <v>1035</v>
      </c>
      <c r="F52" t="s">
        <v>1011</v>
      </c>
      <c r="G52" t="str">
        <f>UPPER(Table1[[#This Row],[State]])</f>
        <v>GUJARAT</v>
      </c>
      <c r="H52" t="s">
        <v>1016</v>
      </c>
      <c r="I52" t="s">
        <v>135</v>
      </c>
      <c r="J52" t="s">
        <v>1025</v>
      </c>
      <c r="K52">
        <v>5091</v>
      </c>
      <c r="L52" s="1">
        <v>43968</v>
      </c>
      <c r="M52" s="1">
        <v>43970</v>
      </c>
      <c r="N52">
        <v>5</v>
      </c>
      <c r="O52" s="4" cm="1">
        <f t="array" ref="O52">_xlfn.IFS(J52="Dell Inspiron 15",66989,J52="Lenovo IdeaPad Slim 3i",34690,J52="Mi NoteBook Ultra",57999,J52="Samsung Galaxy Go",36990,J52="Acer Aspire 3",38980)</f>
        <v>36990</v>
      </c>
      <c r="P52" t="s">
        <v>1029</v>
      </c>
      <c r="Q52" s="1"/>
    </row>
    <row r="53" spans="1:17" x14ac:dyDescent="0.25">
      <c r="A53">
        <v>21779</v>
      </c>
      <c r="B53" t="s">
        <v>97</v>
      </c>
      <c r="C53" t="s">
        <v>136</v>
      </c>
      <c r="D53" t="s">
        <v>1032</v>
      </c>
      <c r="E53" t="s">
        <v>1035</v>
      </c>
      <c r="F53" t="s">
        <v>1011</v>
      </c>
      <c r="G53" t="str">
        <f>UPPER(Table1[[#This Row],[State]])</f>
        <v>GUJARAT</v>
      </c>
      <c r="H53" t="s">
        <v>1016</v>
      </c>
      <c r="I53" t="s">
        <v>137</v>
      </c>
      <c r="J53" t="s">
        <v>1022</v>
      </c>
      <c r="K53">
        <v>4669</v>
      </c>
      <c r="L53" s="1">
        <v>43968</v>
      </c>
      <c r="M53" s="1">
        <v>43969</v>
      </c>
      <c r="N53">
        <v>6</v>
      </c>
      <c r="O53" s="4" cm="1">
        <f t="array" ref="O53">_xlfn.IFS(J53="Dell Inspiron 15",66989,J53="Lenovo IdeaPad Slim 3i",34690,J53="Mi NoteBook Ultra",57999,J53="Samsung Galaxy Go",36990,J53="Acer Aspire 3",38980)</f>
        <v>66989</v>
      </c>
      <c r="P53" t="s">
        <v>1029</v>
      </c>
      <c r="Q53" s="1"/>
    </row>
    <row r="54" spans="1:17" x14ac:dyDescent="0.25">
      <c r="A54">
        <v>13905</v>
      </c>
      <c r="B54" t="s">
        <v>138</v>
      </c>
      <c r="C54" t="s">
        <v>139</v>
      </c>
      <c r="D54" t="s">
        <v>1032</v>
      </c>
      <c r="E54" t="s">
        <v>1036</v>
      </c>
      <c r="F54" t="s">
        <v>1012</v>
      </c>
      <c r="G54" t="str">
        <f>UPPER(Table1[[#This Row],[State]])</f>
        <v>DELHI</v>
      </c>
      <c r="H54" t="s">
        <v>1017</v>
      </c>
      <c r="I54" t="s">
        <v>140</v>
      </c>
      <c r="J54" t="s">
        <v>1026</v>
      </c>
      <c r="K54">
        <v>5182</v>
      </c>
      <c r="L54" s="1">
        <v>43989</v>
      </c>
      <c r="M54" s="1">
        <v>43991</v>
      </c>
      <c r="N54">
        <v>2</v>
      </c>
      <c r="O54" s="4" cm="1">
        <f t="array" ref="O54">_xlfn.IFS(J54="Dell Inspiron 15",66989,J54="Lenovo IdeaPad Slim 3i",34690,J54="Mi NoteBook Ultra",57999,J54="Samsung Galaxy Go",36990,J54="Acer Aspire 3",38980)</f>
        <v>38980</v>
      </c>
      <c r="P54" t="s">
        <v>1029</v>
      </c>
      <c r="Q54" s="1"/>
    </row>
    <row r="55" spans="1:17" x14ac:dyDescent="0.25">
      <c r="A55">
        <v>20401</v>
      </c>
      <c r="B55" t="s">
        <v>141</v>
      </c>
      <c r="C55" t="s">
        <v>142</v>
      </c>
      <c r="D55" t="s">
        <v>1032</v>
      </c>
      <c r="E55" t="s">
        <v>1033</v>
      </c>
      <c r="F55" t="s">
        <v>1009</v>
      </c>
      <c r="G55" t="str">
        <f>UPPER(Table1[[#This Row],[State]])</f>
        <v>BIHAR</v>
      </c>
      <c r="H55" t="s">
        <v>1014</v>
      </c>
      <c r="I55" t="s">
        <v>143</v>
      </c>
      <c r="J55" t="s">
        <v>1024</v>
      </c>
      <c r="K55">
        <v>4690</v>
      </c>
      <c r="L55" s="1">
        <v>43954</v>
      </c>
      <c r="M55" s="1">
        <v>43956</v>
      </c>
      <c r="N55">
        <v>10</v>
      </c>
      <c r="O55" s="4" cm="1">
        <f t="array" ref="O55">_xlfn.IFS(J55="Dell Inspiron 15",66989,J55="Lenovo IdeaPad Slim 3i",34690,J55="Mi NoteBook Ultra",57999,J55="Samsung Galaxy Go",36990,J55="Acer Aspire 3",38980)</f>
        <v>57999</v>
      </c>
      <c r="P55" t="s">
        <v>1029</v>
      </c>
      <c r="Q55" s="1"/>
    </row>
    <row r="56" spans="1:17" x14ac:dyDescent="0.25">
      <c r="A56">
        <v>13895</v>
      </c>
      <c r="B56" t="s">
        <v>51</v>
      </c>
      <c r="C56" t="s">
        <v>136</v>
      </c>
      <c r="D56" t="s">
        <v>1032</v>
      </c>
      <c r="E56" t="s">
        <v>1034</v>
      </c>
      <c r="F56" t="s">
        <v>1010</v>
      </c>
      <c r="G56" t="str">
        <f>UPPER(Table1[[#This Row],[State]])</f>
        <v>PUDUCHERRY</v>
      </c>
      <c r="H56" t="s">
        <v>1015</v>
      </c>
      <c r="I56" t="s">
        <v>144</v>
      </c>
      <c r="J56" t="s">
        <v>1025</v>
      </c>
      <c r="K56">
        <v>5296</v>
      </c>
      <c r="L56" s="1">
        <v>43954</v>
      </c>
      <c r="M56" s="1">
        <v>43956</v>
      </c>
      <c r="N56">
        <v>8</v>
      </c>
      <c r="O56" s="4" cm="1">
        <f t="array" ref="O56">_xlfn.IFS(J56="Dell Inspiron 15",66989,J56="Lenovo IdeaPad Slim 3i",34690,J56="Mi NoteBook Ultra",57999,J56="Samsung Galaxy Go",36990,J56="Acer Aspire 3",38980)</f>
        <v>36990</v>
      </c>
      <c r="P56" t="s">
        <v>1029</v>
      </c>
      <c r="Q56" s="1"/>
    </row>
    <row r="57" spans="1:17" x14ac:dyDescent="0.25">
      <c r="A57">
        <v>23212</v>
      </c>
      <c r="B57" t="s">
        <v>145</v>
      </c>
      <c r="C57" t="s">
        <v>85</v>
      </c>
      <c r="D57" t="s">
        <v>1032</v>
      </c>
      <c r="E57" t="s">
        <v>1033</v>
      </c>
      <c r="F57" t="s">
        <v>1009</v>
      </c>
      <c r="G57" t="str">
        <f>UPPER(Table1[[#This Row],[State]])</f>
        <v>BIHAR</v>
      </c>
      <c r="H57" t="s">
        <v>1014</v>
      </c>
      <c r="I57" t="s">
        <v>146</v>
      </c>
      <c r="J57" t="s">
        <v>1026</v>
      </c>
      <c r="K57">
        <v>5491</v>
      </c>
      <c r="L57" s="1">
        <v>43954</v>
      </c>
      <c r="M57" s="1">
        <v>43956</v>
      </c>
      <c r="N57">
        <v>3</v>
      </c>
      <c r="O57" s="4" cm="1">
        <f t="array" ref="O57">_xlfn.IFS(J57="Dell Inspiron 15",66989,J57="Lenovo IdeaPad Slim 3i",34690,J57="Mi NoteBook Ultra",57999,J57="Samsung Galaxy Go",36990,J57="Acer Aspire 3",38980)</f>
        <v>38980</v>
      </c>
      <c r="P57" t="s">
        <v>1029</v>
      </c>
      <c r="Q57" s="1"/>
    </row>
    <row r="58" spans="1:17" x14ac:dyDescent="0.25">
      <c r="A58">
        <v>23338</v>
      </c>
      <c r="B58" t="s">
        <v>147</v>
      </c>
      <c r="C58" t="s">
        <v>148</v>
      </c>
      <c r="D58" t="s">
        <v>1032</v>
      </c>
      <c r="E58" t="s">
        <v>1035</v>
      </c>
      <c r="F58" t="s">
        <v>1011</v>
      </c>
      <c r="G58" t="str">
        <f>UPPER(Table1[[#This Row],[State]])</f>
        <v>GUJARAT</v>
      </c>
      <c r="H58" t="s">
        <v>1016</v>
      </c>
      <c r="I58" t="s">
        <v>149</v>
      </c>
      <c r="J58" t="s">
        <v>1022</v>
      </c>
      <c r="K58">
        <v>5280</v>
      </c>
      <c r="L58" s="1">
        <v>43954</v>
      </c>
      <c r="M58" s="1">
        <v>43955</v>
      </c>
      <c r="N58">
        <v>5</v>
      </c>
      <c r="O58" s="4" cm="1">
        <f t="array" ref="O58">_xlfn.IFS(J58="Dell Inspiron 15",66989,J58="Lenovo IdeaPad Slim 3i",34690,J58="Mi NoteBook Ultra",57999,J58="Samsung Galaxy Go",36990,J58="Acer Aspire 3",38980)</f>
        <v>66989</v>
      </c>
      <c r="P58" t="s">
        <v>1029</v>
      </c>
      <c r="Q58" s="1"/>
    </row>
    <row r="59" spans="1:17" x14ac:dyDescent="0.25">
      <c r="A59">
        <v>20521</v>
      </c>
      <c r="B59" t="s">
        <v>150</v>
      </c>
      <c r="C59" t="s">
        <v>151</v>
      </c>
      <c r="D59" t="s">
        <v>1032</v>
      </c>
      <c r="E59" t="s">
        <v>1035</v>
      </c>
      <c r="F59" t="s">
        <v>1011</v>
      </c>
      <c r="G59" t="str">
        <f>UPPER(Table1[[#This Row],[State]])</f>
        <v>GUJARAT</v>
      </c>
      <c r="H59" t="s">
        <v>1016</v>
      </c>
      <c r="I59" t="s">
        <v>152</v>
      </c>
      <c r="J59" t="s">
        <v>1024</v>
      </c>
      <c r="K59">
        <v>5402</v>
      </c>
      <c r="L59" s="1">
        <v>44004</v>
      </c>
      <c r="M59" s="1">
        <v>44006</v>
      </c>
      <c r="N59">
        <v>3</v>
      </c>
      <c r="O59" s="4" cm="1">
        <f t="array" ref="O59">_xlfn.IFS(J59="Dell Inspiron 15",66989,J59="Lenovo IdeaPad Slim 3i",34690,J59="Mi NoteBook Ultra",57999,J59="Samsung Galaxy Go",36990,J59="Acer Aspire 3",38980)</f>
        <v>57999</v>
      </c>
      <c r="P59" t="s">
        <v>1029</v>
      </c>
      <c r="Q59" s="1"/>
    </row>
    <row r="60" spans="1:17" x14ac:dyDescent="0.25">
      <c r="A60">
        <v>25561</v>
      </c>
      <c r="B60" t="s">
        <v>153</v>
      </c>
      <c r="C60" t="s">
        <v>23</v>
      </c>
      <c r="D60" t="s">
        <v>1032</v>
      </c>
      <c r="E60" t="s">
        <v>1036</v>
      </c>
      <c r="F60" t="s">
        <v>1012</v>
      </c>
      <c r="G60" t="str">
        <f>UPPER(Table1[[#This Row],[State]])</f>
        <v>DELHI</v>
      </c>
      <c r="H60" t="s">
        <v>1017</v>
      </c>
      <c r="I60" t="s">
        <v>154</v>
      </c>
      <c r="J60" t="s">
        <v>1026</v>
      </c>
      <c r="K60">
        <v>4997</v>
      </c>
      <c r="L60" s="1">
        <v>43927</v>
      </c>
      <c r="M60" s="1">
        <v>43928</v>
      </c>
      <c r="N60">
        <v>5</v>
      </c>
      <c r="O60" s="4" cm="1">
        <f t="array" ref="O60">_xlfn.IFS(J60="Dell Inspiron 15",66989,J60="Lenovo IdeaPad Slim 3i",34690,J60="Mi NoteBook Ultra",57999,J60="Samsung Galaxy Go",36990,J60="Acer Aspire 3",38980)</f>
        <v>38980</v>
      </c>
      <c r="P60" t="s">
        <v>1029</v>
      </c>
      <c r="Q60" s="1"/>
    </row>
    <row r="61" spans="1:17" x14ac:dyDescent="0.25">
      <c r="A61">
        <v>15600</v>
      </c>
      <c r="B61" t="s">
        <v>155</v>
      </c>
      <c r="C61" t="s">
        <v>26</v>
      </c>
      <c r="D61" t="s">
        <v>1032</v>
      </c>
      <c r="E61" t="s">
        <v>1036</v>
      </c>
      <c r="F61" t="s">
        <v>1012</v>
      </c>
      <c r="G61" t="str">
        <f>UPPER(Table1[[#This Row],[State]])</f>
        <v>DELHI</v>
      </c>
      <c r="H61" t="s">
        <v>1017</v>
      </c>
      <c r="I61" t="s">
        <v>156</v>
      </c>
      <c r="J61" t="s">
        <v>1022</v>
      </c>
      <c r="K61">
        <v>4743</v>
      </c>
      <c r="L61" s="1">
        <v>44004</v>
      </c>
      <c r="M61" s="1">
        <v>44006</v>
      </c>
      <c r="N61">
        <v>6</v>
      </c>
      <c r="O61" s="4" cm="1">
        <f t="array" ref="O61">_xlfn.IFS(J61="Dell Inspiron 15",66989,J61="Lenovo IdeaPad Slim 3i",34690,J61="Mi NoteBook Ultra",57999,J61="Samsung Galaxy Go",36990,J61="Acer Aspire 3",38980)</f>
        <v>66989</v>
      </c>
      <c r="P61" t="s">
        <v>1029</v>
      </c>
      <c r="Q61" s="1"/>
    </row>
    <row r="62" spans="1:17" x14ac:dyDescent="0.25">
      <c r="A62">
        <v>13401</v>
      </c>
      <c r="B62" t="s">
        <v>97</v>
      </c>
      <c r="C62" t="s">
        <v>20</v>
      </c>
      <c r="D62" t="s">
        <v>1032</v>
      </c>
      <c r="E62" t="s">
        <v>1033</v>
      </c>
      <c r="F62" t="s">
        <v>1009</v>
      </c>
      <c r="G62" t="str">
        <f>UPPER(Table1[[#This Row],[State]])</f>
        <v>BIHAR</v>
      </c>
      <c r="H62" t="s">
        <v>1014</v>
      </c>
      <c r="I62" t="s">
        <v>157</v>
      </c>
      <c r="J62" t="s">
        <v>1023</v>
      </c>
      <c r="K62">
        <v>5323</v>
      </c>
      <c r="L62" s="1">
        <v>44004</v>
      </c>
      <c r="M62" s="1">
        <v>44005</v>
      </c>
      <c r="N62">
        <v>8</v>
      </c>
      <c r="O62" s="4" cm="1">
        <f t="array" ref="O62">_xlfn.IFS(J62="Dell Inspiron 15",66989,J62="Lenovo IdeaPad Slim 3i",34690,J62="Mi NoteBook Ultra",57999,J62="Samsung Galaxy Go",36990,J62="Acer Aspire 3",38980)</f>
        <v>34690</v>
      </c>
      <c r="P62" t="s">
        <v>1029</v>
      </c>
      <c r="Q62" s="1"/>
    </row>
    <row r="63" spans="1:17" x14ac:dyDescent="0.25">
      <c r="A63">
        <v>20171</v>
      </c>
      <c r="B63" t="s">
        <v>158</v>
      </c>
      <c r="C63" t="s">
        <v>159</v>
      </c>
      <c r="D63" t="s">
        <v>1032</v>
      </c>
      <c r="E63" t="s">
        <v>1034</v>
      </c>
      <c r="F63" t="s">
        <v>1010</v>
      </c>
      <c r="G63" t="str">
        <f>UPPER(Table1[[#This Row],[State]])</f>
        <v>PUDUCHERRY</v>
      </c>
      <c r="H63" t="s">
        <v>1015</v>
      </c>
      <c r="I63" t="s">
        <v>160</v>
      </c>
      <c r="J63" t="s">
        <v>1024</v>
      </c>
      <c r="K63">
        <v>4755</v>
      </c>
      <c r="L63" s="1">
        <v>43927</v>
      </c>
      <c r="M63" s="1">
        <v>43928</v>
      </c>
      <c r="N63">
        <v>4</v>
      </c>
      <c r="O63" s="4" cm="1">
        <f t="array" ref="O63">_xlfn.IFS(J63="Dell Inspiron 15",66989,J63="Lenovo IdeaPad Slim 3i",34690,J63="Mi NoteBook Ultra",57999,J63="Samsung Galaxy Go",36990,J63="Acer Aspire 3",38980)</f>
        <v>57999</v>
      </c>
      <c r="P63" t="s">
        <v>1029</v>
      </c>
      <c r="Q63" s="1"/>
    </row>
    <row r="64" spans="1:17" x14ac:dyDescent="0.25">
      <c r="A64">
        <v>15788</v>
      </c>
      <c r="B64" t="s">
        <v>19</v>
      </c>
      <c r="C64" t="s">
        <v>161</v>
      </c>
      <c r="D64" t="s">
        <v>1032</v>
      </c>
      <c r="E64" t="s">
        <v>1033</v>
      </c>
      <c r="F64" t="s">
        <v>1009</v>
      </c>
      <c r="G64" t="str">
        <f>UPPER(Table1[[#This Row],[State]])</f>
        <v>BIHAR</v>
      </c>
      <c r="H64" t="s">
        <v>1014</v>
      </c>
      <c r="I64" t="s">
        <v>162</v>
      </c>
      <c r="J64" t="s">
        <v>1025</v>
      </c>
      <c r="K64">
        <v>4941</v>
      </c>
      <c r="L64" s="1">
        <v>44004</v>
      </c>
      <c r="M64" s="1">
        <v>44005</v>
      </c>
      <c r="N64">
        <v>1</v>
      </c>
      <c r="O64" s="4" cm="1">
        <f t="array" ref="O64">_xlfn.IFS(J64="Dell Inspiron 15",66989,J64="Lenovo IdeaPad Slim 3i",34690,J64="Mi NoteBook Ultra",57999,J64="Samsung Galaxy Go",36990,J64="Acer Aspire 3",38980)</f>
        <v>36990</v>
      </c>
      <c r="P64" t="s">
        <v>1029</v>
      </c>
      <c r="Q64" s="1"/>
    </row>
    <row r="65" spans="1:17" x14ac:dyDescent="0.25">
      <c r="A65">
        <v>24367</v>
      </c>
      <c r="B65" t="s">
        <v>16</v>
      </c>
      <c r="C65" t="s">
        <v>163</v>
      </c>
      <c r="D65" t="s">
        <v>1032</v>
      </c>
      <c r="E65" t="s">
        <v>1035</v>
      </c>
      <c r="F65" t="s">
        <v>1011</v>
      </c>
      <c r="G65" t="str">
        <f>UPPER(Table1[[#This Row],[State]])</f>
        <v>GUJARAT</v>
      </c>
      <c r="H65" t="s">
        <v>1016</v>
      </c>
      <c r="I65" t="s">
        <v>164</v>
      </c>
      <c r="J65" t="s">
        <v>1026</v>
      </c>
      <c r="K65">
        <v>5373</v>
      </c>
      <c r="L65" s="1">
        <v>43833</v>
      </c>
      <c r="M65" s="1">
        <v>43834</v>
      </c>
      <c r="N65">
        <v>1</v>
      </c>
      <c r="O65" s="4" cm="1">
        <f t="array" ref="O65">_xlfn.IFS(J65="Dell Inspiron 15",66989,J65="Lenovo IdeaPad Slim 3i",34690,J65="Mi NoteBook Ultra",57999,J65="Samsung Galaxy Go",36990,J65="Acer Aspire 3",38980)</f>
        <v>38980</v>
      </c>
      <c r="P65" t="s">
        <v>1029</v>
      </c>
      <c r="Q65" s="1"/>
    </row>
    <row r="66" spans="1:17" x14ac:dyDescent="0.25">
      <c r="A66">
        <v>22645</v>
      </c>
      <c r="B66" t="s">
        <v>68</v>
      </c>
      <c r="C66" t="s">
        <v>165</v>
      </c>
      <c r="D66" t="s">
        <v>1032</v>
      </c>
      <c r="E66" t="s">
        <v>1035</v>
      </c>
      <c r="F66" t="s">
        <v>1011</v>
      </c>
      <c r="G66" t="str">
        <f>UPPER(Table1[[#This Row],[State]])</f>
        <v>GUJARAT</v>
      </c>
      <c r="H66" t="s">
        <v>1016</v>
      </c>
      <c r="I66" t="s">
        <v>166</v>
      </c>
      <c r="J66" t="s">
        <v>1022</v>
      </c>
      <c r="K66">
        <v>5401</v>
      </c>
      <c r="L66" s="1">
        <v>43925</v>
      </c>
      <c r="M66" s="1">
        <v>43927</v>
      </c>
      <c r="N66">
        <v>10</v>
      </c>
      <c r="O66" s="4" cm="1">
        <f t="array" ref="O66">_xlfn.IFS(J66="Dell Inspiron 15",66989,J66="Lenovo IdeaPad Slim 3i",34690,J66="Mi NoteBook Ultra",57999,J66="Samsung Galaxy Go",36990,J66="Acer Aspire 3",38980)</f>
        <v>66989</v>
      </c>
      <c r="P66" t="s">
        <v>1029</v>
      </c>
      <c r="Q66" s="1"/>
    </row>
    <row r="67" spans="1:17" x14ac:dyDescent="0.25">
      <c r="A67">
        <v>15865</v>
      </c>
      <c r="B67" t="s">
        <v>73</v>
      </c>
      <c r="C67" t="s">
        <v>167</v>
      </c>
      <c r="D67" t="s">
        <v>1032</v>
      </c>
      <c r="E67" t="s">
        <v>1036</v>
      </c>
      <c r="F67" t="s">
        <v>1012</v>
      </c>
      <c r="G67" t="str">
        <f>UPPER(Table1[[#This Row],[State]])</f>
        <v>DELHI</v>
      </c>
      <c r="H67" t="s">
        <v>1017</v>
      </c>
      <c r="I67" t="s">
        <v>168</v>
      </c>
      <c r="J67" t="s">
        <v>1024</v>
      </c>
      <c r="K67">
        <v>5120</v>
      </c>
      <c r="L67" s="1">
        <v>43925</v>
      </c>
      <c r="M67" s="1">
        <v>43927</v>
      </c>
      <c r="N67">
        <v>10</v>
      </c>
      <c r="O67" s="4" cm="1">
        <f t="array" ref="O67">_xlfn.IFS(J67="Dell Inspiron 15",66989,J67="Lenovo IdeaPad Slim 3i",34690,J67="Mi NoteBook Ultra",57999,J67="Samsung Galaxy Go",36990,J67="Acer Aspire 3",38980)</f>
        <v>57999</v>
      </c>
      <c r="P67" t="s">
        <v>1029</v>
      </c>
      <c r="Q67" s="1"/>
    </row>
    <row r="68" spans="1:17" x14ac:dyDescent="0.25">
      <c r="A68">
        <v>16197</v>
      </c>
      <c r="B68" t="s">
        <v>169</v>
      </c>
      <c r="C68" t="s">
        <v>170</v>
      </c>
      <c r="D68" t="s">
        <v>1032</v>
      </c>
      <c r="E68" t="s">
        <v>1033</v>
      </c>
      <c r="F68" t="s">
        <v>1009</v>
      </c>
      <c r="G68" t="str">
        <f>UPPER(Table1[[#This Row],[State]])</f>
        <v>BIHAR</v>
      </c>
      <c r="H68" t="s">
        <v>1014</v>
      </c>
      <c r="I68" t="s">
        <v>171</v>
      </c>
      <c r="J68" t="s">
        <v>1025</v>
      </c>
      <c r="K68">
        <v>5352</v>
      </c>
      <c r="L68" s="1">
        <v>43930</v>
      </c>
      <c r="M68" s="1">
        <v>43932</v>
      </c>
      <c r="N68">
        <v>10</v>
      </c>
      <c r="O68" s="4" cm="1">
        <f t="array" ref="O68">_xlfn.IFS(J68="Dell Inspiron 15",66989,J68="Lenovo IdeaPad Slim 3i",34690,J68="Mi NoteBook Ultra",57999,J68="Samsung Galaxy Go",36990,J68="Acer Aspire 3",38980)</f>
        <v>36990</v>
      </c>
      <c r="P68" t="s">
        <v>1029</v>
      </c>
      <c r="Q68" s="1"/>
    </row>
    <row r="69" spans="1:17" x14ac:dyDescent="0.25">
      <c r="A69">
        <v>17756</v>
      </c>
      <c r="B69" t="s">
        <v>172</v>
      </c>
      <c r="C69" t="s">
        <v>173</v>
      </c>
      <c r="D69" t="s">
        <v>1032</v>
      </c>
      <c r="E69" t="s">
        <v>1036</v>
      </c>
      <c r="F69" t="s">
        <v>1012</v>
      </c>
      <c r="G69" t="str">
        <f>UPPER(Table1[[#This Row],[State]])</f>
        <v>DELHI</v>
      </c>
      <c r="H69" t="s">
        <v>1017</v>
      </c>
      <c r="I69" t="s">
        <v>174</v>
      </c>
      <c r="J69" t="s">
        <v>1026</v>
      </c>
      <c r="K69">
        <v>4563</v>
      </c>
      <c r="L69" s="1">
        <v>43833</v>
      </c>
      <c r="M69" s="1">
        <v>43834</v>
      </c>
      <c r="N69">
        <v>4</v>
      </c>
      <c r="O69" s="4" cm="1">
        <f t="array" ref="O69">_xlfn.IFS(J69="Dell Inspiron 15",66989,J69="Lenovo IdeaPad Slim 3i",34690,J69="Mi NoteBook Ultra",57999,J69="Samsung Galaxy Go",36990,J69="Acer Aspire 3",38980)</f>
        <v>38980</v>
      </c>
      <c r="P69" t="s">
        <v>1029</v>
      </c>
      <c r="Q69" s="1"/>
    </row>
    <row r="70" spans="1:17" x14ac:dyDescent="0.25">
      <c r="A70">
        <v>21170</v>
      </c>
      <c r="B70" t="s">
        <v>56</v>
      </c>
      <c r="C70" t="s">
        <v>175</v>
      </c>
      <c r="D70" t="s">
        <v>1032</v>
      </c>
      <c r="E70" t="s">
        <v>1033</v>
      </c>
      <c r="F70" t="s">
        <v>1009</v>
      </c>
      <c r="G70" t="str">
        <f>UPPER(Table1[[#This Row],[State]])</f>
        <v>BIHAR</v>
      </c>
      <c r="H70" t="s">
        <v>1014</v>
      </c>
      <c r="I70" t="s">
        <v>176</v>
      </c>
      <c r="J70" t="s">
        <v>1022</v>
      </c>
      <c r="K70">
        <v>4810</v>
      </c>
      <c r="L70" s="1">
        <v>43925</v>
      </c>
      <c r="M70" s="1">
        <v>43927</v>
      </c>
      <c r="N70">
        <v>7</v>
      </c>
      <c r="O70" s="4" cm="1">
        <f t="array" ref="O70">_xlfn.IFS(J70="Dell Inspiron 15",66989,J70="Lenovo IdeaPad Slim 3i",34690,J70="Mi NoteBook Ultra",57999,J70="Samsung Galaxy Go",36990,J70="Acer Aspire 3",38980)</f>
        <v>66989</v>
      </c>
      <c r="P70" t="s">
        <v>1029</v>
      </c>
      <c r="Q70" s="1"/>
    </row>
    <row r="71" spans="1:17" x14ac:dyDescent="0.25">
      <c r="A71">
        <v>21622</v>
      </c>
      <c r="B71" t="s">
        <v>177</v>
      </c>
      <c r="C71" t="s">
        <v>3</v>
      </c>
      <c r="D71" t="s">
        <v>1032</v>
      </c>
      <c r="E71" t="s">
        <v>1034</v>
      </c>
      <c r="F71" t="s">
        <v>1010</v>
      </c>
      <c r="G71" t="str">
        <f>UPPER(Table1[[#This Row],[State]])</f>
        <v>PUDUCHERRY</v>
      </c>
      <c r="H71" t="s">
        <v>1015</v>
      </c>
      <c r="I71" t="s">
        <v>178</v>
      </c>
      <c r="J71" t="s">
        <v>1024</v>
      </c>
      <c r="K71">
        <v>4553</v>
      </c>
      <c r="L71" s="1">
        <v>43925</v>
      </c>
      <c r="M71" s="1">
        <v>43927</v>
      </c>
      <c r="N71">
        <v>7</v>
      </c>
      <c r="O71" s="4" cm="1">
        <f t="array" ref="O71">_xlfn.IFS(J71="Dell Inspiron 15",66989,J71="Lenovo IdeaPad Slim 3i",34690,J71="Mi NoteBook Ultra",57999,J71="Samsung Galaxy Go",36990,J71="Acer Aspire 3",38980)</f>
        <v>57999</v>
      </c>
      <c r="P71" t="s">
        <v>1029</v>
      </c>
      <c r="Q71" s="1"/>
    </row>
    <row r="72" spans="1:17" x14ac:dyDescent="0.25">
      <c r="A72">
        <v>15133</v>
      </c>
      <c r="B72" t="s">
        <v>147</v>
      </c>
      <c r="C72" t="s">
        <v>161</v>
      </c>
      <c r="D72" t="s">
        <v>1032</v>
      </c>
      <c r="E72" t="s">
        <v>1033</v>
      </c>
      <c r="F72" t="s">
        <v>1009</v>
      </c>
      <c r="G72" t="str">
        <f>UPPER(Table1[[#This Row],[State]])</f>
        <v>BIHAR</v>
      </c>
      <c r="H72" t="s">
        <v>1014</v>
      </c>
      <c r="I72" t="s">
        <v>179</v>
      </c>
      <c r="J72" t="s">
        <v>1026</v>
      </c>
      <c r="K72">
        <v>4990</v>
      </c>
      <c r="L72" s="1">
        <v>43930</v>
      </c>
      <c r="M72" s="1">
        <v>43932</v>
      </c>
      <c r="N72">
        <v>7</v>
      </c>
      <c r="O72" s="4" cm="1">
        <f t="array" ref="O72">_xlfn.IFS(J72="Dell Inspiron 15",66989,J72="Lenovo IdeaPad Slim 3i",34690,J72="Mi NoteBook Ultra",57999,J72="Samsung Galaxy Go",36990,J72="Acer Aspire 3",38980)</f>
        <v>38980</v>
      </c>
      <c r="P72" t="s">
        <v>1029</v>
      </c>
      <c r="Q72" s="1"/>
    </row>
    <row r="73" spans="1:17" x14ac:dyDescent="0.25">
      <c r="A73">
        <v>25147</v>
      </c>
      <c r="B73" t="s">
        <v>180</v>
      </c>
      <c r="C73" t="s">
        <v>181</v>
      </c>
      <c r="D73" t="s">
        <v>1032</v>
      </c>
      <c r="E73" t="s">
        <v>1035</v>
      </c>
      <c r="F73" t="s">
        <v>1011</v>
      </c>
      <c r="G73" t="str">
        <f>UPPER(Table1[[#This Row],[State]])</f>
        <v>GUJARAT</v>
      </c>
      <c r="H73" t="s">
        <v>1016</v>
      </c>
      <c r="I73" t="s">
        <v>182</v>
      </c>
      <c r="J73" t="s">
        <v>1022</v>
      </c>
      <c r="K73">
        <v>5153</v>
      </c>
      <c r="L73" s="1">
        <v>43842</v>
      </c>
      <c r="M73" s="1">
        <v>43843</v>
      </c>
      <c r="N73">
        <v>5</v>
      </c>
      <c r="O73" s="4" cm="1">
        <f t="array" ref="O73">_xlfn.IFS(J73="Dell Inspiron 15",66989,J73="Lenovo IdeaPad Slim 3i",34690,J73="Mi NoteBook Ultra",57999,J73="Samsung Galaxy Go",36990,J73="Acer Aspire 3",38980)</f>
        <v>66989</v>
      </c>
      <c r="P73" t="s">
        <v>1029</v>
      </c>
      <c r="Q73" s="1"/>
    </row>
    <row r="74" spans="1:17" x14ac:dyDescent="0.25">
      <c r="A74">
        <v>18772</v>
      </c>
      <c r="B74" t="s">
        <v>169</v>
      </c>
      <c r="C74" t="s">
        <v>183</v>
      </c>
      <c r="D74" t="s">
        <v>1032</v>
      </c>
      <c r="E74" t="s">
        <v>1035</v>
      </c>
      <c r="F74" t="s">
        <v>1011</v>
      </c>
      <c r="G74" t="str">
        <f>UPPER(Table1[[#This Row],[State]])</f>
        <v>GUJARAT</v>
      </c>
      <c r="H74" t="s">
        <v>1016</v>
      </c>
      <c r="I74" t="s">
        <v>184</v>
      </c>
      <c r="J74" t="s">
        <v>1023</v>
      </c>
      <c r="K74">
        <v>5421</v>
      </c>
      <c r="L74" s="1">
        <v>43842</v>
      </c>
      <c r="M74" s="1">
        <v>43844</v>
      </c>
      <c r="N74">
        <v>9</v>
      </c>
      <c r="O74" s="4" cm="1">
        <f t="array" ref="O74">_xlfn.IFS(J74="Dell Inspiron 15",66989,J74="Lenovo IdeaPad Slim 3i",34690,J74="Mi NoteBook Ultra",57999,J74="Samsung Galaxy Go",36990,J74="Acer Aspire 3",38980)</f>
        <v>34690</v>
      </c>
      <c r="P74" t="s">
        <v>1029</v>
      </c>
      <c r="Q74" s="1"/>
    </row>
    <row r="75" spans="1:17" x14ac:dyDescent="0.25">
      <c r="A75">
        <v>16142</v>
      </c>
      <c r="B75" t="s">
        <v>185</v>
      </c>
      <c r="C75" t="s">
        <v>148</v>
      </c>
      <c r="D75" t="s">
        <v>1032</v>
      </c>
      <c r="E75" t="s">
        <v>1036</v>
      </c>
      <c r="F75" t="s">
        <v>1012</v>
      </c>
      <c r="G75" t="str">
        <f>UPPER(Table1[[#This Row],[State]])</f>
        <v>DELHI</v>
      </c>
      <c r="H75" t="s">
        <v>1017</v>
      </c>
      <c r="I75" t="s">
        <v>186</v>
      </c>
      <c r="J75" t="s">
        <v>1025</v>
      </c>
      <c r="K75">
        <v>4533</v>
      </c>
      <c r="L75" s="1">
        <v>43930</v>
      </c>
      <c r="M75" s="1">
        <v>43931</v>
      </c>
      <c r="N75">
        <v>2</v>
      </c>
      <c r="O75" s="4" cm="1">
        <f t="array" ref="O75">_xlfn.IFS(J75="Dell Inspiron 15",66989,J75="Lenovo IdeaPad Slim 3i",34690,J75="Mi NoteBook Ultra",57999,J75="Samsung Galaxy Go",36990,J75="Acer Aspire 3",38980)</f>
        <v>36990</v>
      </c>
      <c r="P75" t="s">
        <v>1029</v>
      </c>
      <c r="Q75" s="1"/>
    </row>
    <row r="76" spans="1:17" x14ac:dyDescent="0.25">
      <c r="A76">
        <v>24011</v>
      </c>
      <c r="B76" t="s">
        <v>187</v>
      </c>
      <c r="C76" t="s">
        <v>188</v>
      </c>
      <c r="D76" t="s">
        <v>1032</v>
      </c>
      <c r="E76" t="s">
        <v>1033</v>
      </c>
      <c r="F76" t="s">
        <v>1009</v>
      </c>
      <c r="G76" t="str">
        <f>UPPER(Table1[[#This Row],[State]])</f>
        <v>BIHAR</v>
      </c>
      <c r="H76" t="s">
        <v>1014</v>
      </c>
      <c r="I76" t="s">
        <v>189</v>
      </c>
      <c r="J76" t="s">
        <v>1022</v>
      </c>
      <c r="K76">
        <v>5423</v>
      </c>
      <c r="L76" s="1">
        <v>43857</v>
      </c>
      <c r="M76" s="1">
        <v>43858</v>
      </c>
      <c r="N76">
        <v>7</v>
      </c>
      <c r="O76" s="4" cm="1">
        <f t="array" ref="O76">_xlfn.IFS(J76="Dell Inspiron 15",66989,J76="Lenovo IdeaPad Slim 3i",34690,J76="Mi NoteBook Ultra",57999,J76="Samsung Galaxy Go",36990,J76="Acer Aspire 3",38980)</f>
        <v>66989</v>
      </c>
      <c r="P76" t="s">
        <v>1029</v>
      </c>
      <c r="Q76" s="1"/>
    </row>
    <row r="77" spans="1:17" x14ac:dyDescent="0.25">
      <c r="A77">
        <v>22213</v>
      </c>
      <c r="B77" t="s">
        <v>180</v>
      </c>
      <c r="C77" t="s">
        <v>11</v>
      </c>
      <c r="D77" t="s">
        <v>1032</v>
      </c>
      <c r="E77" t="s">
        <v>1034</v>
      </c>
      <c r="F77" t="s">
        <v>1010</v>
      </c>
      <c r="G77" t="str">
        <f>UPPER(Table1[[#This Row],[State]])</f>
        <v>PUDUCHERRY</v>
      </c>
      <c r="H77" t="s">
        <v>1015</v>
      </c>
      <c r="I77" t="s">
        <v>190</v>
      </c>
      <c r="J77" t="s">
        <v>1026</v>
      </c>
      <c r="K77">
        <v>4787</v>
      </c>
      <c r="L77" s="1">
        <v>43976</v>
      </c>
      <c r="M77" s="1">
        <v>43977</v>
      </c>
      <c r="N77">
        <v>7</v>
      </c>
      <c r="O77" s="4" cm="1">
        <f t="array" ref="O77">_xlfn.IFS(J77="Dell Inspiron 15",66989,J77="Lenovo IdeaPad Slim 3i",34690,J77="Mi NoteBook Ultra",57999,J77="Samsung Galaxy Go",36990,J77="Acer Aspire 3",38980)</f>
        <v>38980</v>
      </c>
      <c r="P77" t="s">
        <v>1029</v>
      </c>
      <c r="Q77" s="1"/>
    </row>
    <row r="78" spans="1:17" x14ac:dyDescent="0.25">
      <c r="A78">
        <v>15893</v>
      </c>
      <c r="B78" t="s">
        <v>47</v>
      </c>
      <c r="C78" t="s">
        <v>191</v>
      </c>
      <c r="D78" t="s">
        <v>1032</v>
      </c>
      <c r="E78" t="s">
        <v>1033</v>
      </c>
      <c r="F78" t="s">
        <v>1009</v>
      </c>
      <c r="G78" t="str">
        <f>UPPER(Table1[[#This Row],[State]])</f>
        <v>BIHAR</v>
      </c>
      <c r="H78" t="s">
        <v>1014</v>
      </c>
      <c r="I78" t="s">
        <v>192</v>
      </c>
      <c r="J78" t="s">
        <v>1024</v>
      </c>
      <c r="K78">
        <v>5421</v>
      </c>
      <c r="L78" s="1">
        <v>43967</v>
      </c>
      <c r="M78" s="1">
        <v>43968</v>
      </c>
      <c r="N78">
        <v>3</v>
      </c>
      <c r="O78" s="4" cm="1">
        <f t="array" ref="O78">_xlfn.IFS(J78="Dell Inspiron 15",66989,J78="Lenovo IdeaPad Slim 3i",34690,J78="Mi NoteBook Ultra",57999,J78="Samsung Galaxy Go",36990,J78="Acer Aspire 3",38980)</f>
        <v>57999</v>
      </c>
      <c r="P78" t="s">
        <v>1029</v>
      </c>
      <c r="Q78" s="1"/>
    </row>
    <row r="79" spans="1:17" x14ac:dyDescent="0.25">
      <c r="A79">
        <v>15286</v>
      </c>
      <c r="B79" t="s">
        <v>193</v>
      </c>
      <c r="C79" t="s">
        <v>194</v>
      </c>
      <c r="D79" t="s">
        <v>1032</v>
      </c>
      <c r="E79" t="s">
        <v>1035</v>
      </c>
      <c r="F79" t="s">
        <v>1011</v>
      </c>
      <c r="G79" t="str">
        <f>UPPER(Table1[[#This Row],[State]])</f>
        <v>GUJARAT</v>
      </c>
      <c r="H79" t="s">
        <v>1016</v>
      </c>
      <c r="I79" t="s">
        <v>195</v>
      </c>
      <c r="J79" t="s">
        <v>1025</v>
      </c>
      <c r="K79">
        <v>5503</v>
      </c>
      <c r="L79" s="1">
        <v>43967</v>
      </c>
      <c r="M79" s="1">
        <v>43968</v>
      </c>
      <c r="N79">
        <v>1</v>
      </c>
      <c r="O79" s="4" cm="1">
        <f t="array" ref="O79">_xlfn.IFS(J79="Dell Inspiron 15",66989,J79="Lenovo IdeaPad Slim 3i",34690,J79="Mi NoteBook Ultra",57999,J79="Samsung Galaxy Go",36990,J79="Acer Aspire 3",38980)</f>
        <v>36990</v>
      </c>
      <c r="P79" t="s">
        <v>1029</v>
      </c>
      <c r="Q79" s="1"/>
    </row>
    <row r="80" spans="1:17" x14ac:dyDescent="0.25">
      <c r="A80">
        <v>14634</v>
      </c>
      <c r="B80" t="s">
        <v>193</v>
      </c>
      <c r="C80" t="s">
        <v>196</v>
      </c>
      <c r="D80" t="s">
        <v>1032</v>
      </c>
      <c r="E80" t="s">
        <v>1035</v>
      </c>
      <c r="F80" t="s">
        <v>1011</v>
      </c>
      <c r="G80" t="str">
        <f>UPPER(Table1[[#This Row],[State]])</f>
        <v>GUJARAT</v>
      </c>
      <c r="H80" t="s">
        <v>1016</v>
      </c>
      <c r="I80" t="s">
        <v>197</v>
      </c>
      <c r="J80" t="s">
        <v>1026</v>
      </c>
      <c r="K80">
        <v>4780</v>
      </c>
      <c r="L80" s="1">
        <v>43984</v>
      </c>
      <c r="M80" s="1">
        <v>43985</v>
      </c>
      <c r="N80">
        <v>7</v>
      </c>
      <c r="O80" s="4" cm="1">
        <f t="array" ref="O80">_xlfn.IFS(J80="Dell Inspiron 15",66989,J80="Lenovo IdeaPad Slim 3i",34690,J80="Mi NoteBook Ultra",57999,J80="Samsung Galaxy Go",36990,J80="Acer Aspire 3",38980)</f>
        <v>38980</v>
      </c>
      <c r="P80" t="s">
        <v>1029</v>
      </c>
      <c r="Q80" s="1"/>
    </row>
    <row r="81" spans="1:17" x14ac:dyDescent="0.25">
      <c r="A81">
        <v>17360</v>
      </c>
      <c r="B81" t="s">
        <v>198</v>
      </c>
      <c r="C81" t="s">
        <v>199</v>
      </c>
      <c r="D81" t="s">
        <v>1032</v>
      </c>
      <c r="E81" t="s">
        <v>1036</v>
      </c>
      <c r="F81" t="s">
        <v>1012</v>
      </c>
      <c r="G81" t="str">
        <f>UPPER(Table1[[#This Row],[State]])</f>
        <v>DELHI</v>
      </c>
      <c r="H81" t="s">
        <v>1017</v>
      </c>
      <c r="I81" t="s">
        <v>200</v>
      </c>
      <c r="J81" t="s">
        <v>1022</v>
      </c>
      <c r="K81">
        <v>4573</v>
      </c>
      <c r="L81" s="1">
        <v>43984</v>
      </c>
      <c r="M81" s="1">
        <v>43985</v>
      </c>
      <c r="N81">
        <v>7</v>
      </c>
      <c r="O81" s="4" cm="1">
        <f t="array" ref="O81">_xlfn.IFS(J81="Dell Inspiron 15",66989,J81="Lenovo IdeaPad Slim 3i",34690,J81="Mi NoteBook Ultra",57999,J81="Samsung Galaxy Go",36990,J81="Acer Aspire 3",38980)</f>
        <v>66989</v>
      </c>
      <c r="P81" t="s">
        <v>1029</v>
      </c>
      <c r="Q81" s="1"/>
    </row>
    <row r="82" spans="1:17" x14ac:dyDescent="0.25">
      <c r="A82">
        <v>21325</v>
      </c>
      <c r="B82" t="s">
        <v>185</v>
      </c>
      <c r="C82" t="s">
        <v>98</v>
      </c>
      <c r="D82" t="s">
        <v>1032</v>
      </c>
      <c r="E82" t="s">
        <v>1033</v>
      </c>
      <c r="F82" t="s">
        <v>1009</v>
      </c>
      <c r="G82" t="str">
        <f>UPPER(Table1[[#This Row],[State]])</f>
        <v>BIHAR</v>
      </c>
      <c r="H82" t="s">
        <v>1014</v>
      </c>
      <c r="I82" t="s">
        <v>201</v>
      </c>
      <c r="J82" t="s">
        <v>1024</v>
      </c>
      <c r="K82">
        <v>5266</v>
      </c>
      <c r="L82" s="1">
        <v>43845</v>
      </c>
      <c r="M82" s="1">
        <v>43847</v>
      </c>
      <c r="N82">
        <v>6</v>
      </c>
      <c r="O82" s="4" cm="1">
        <f t="array" ref="O82">_xlfn.IFS(J82="Dell Inspiron 15",66989,J82="Lenovo IdeaPad Slim 3i",34690,J82="Mi NoteBook Ultra",57999,J82="Samsung Galaxy Go",36990,J82="Acer Aspire 3",38980)</f>
        <v>57999</v>
      </c>
      <c r="P82" t="s">
        <v>1029</v>
      </c>
      <c r="Q82" s="1"/>
    </row>
    <row r="83" spans="1:17" x14ac:dyDescent="0.25">
      <c r="A83">
        <v>19763</v>
      </c>
      <c r="B83" t="s">
        <v>202</v>
      </c>
      <c r="C83" t="s">
        <v>128</v>
      </c>
      <c r="D83" t="s">
        <v>1032</v>
      </c>
      <c r="E83" t="s">
        <v>1034</v>
      </c>
      <c r="F83" t="s">
        <v>1010</v>
      </c>
      <c r="G83" t="str">
        <f>UPPER(Table1[[#This Row],[State]])</f>
        <v>PUDUCHERRY</v>
      </c>
      <c r="H83" t="s">
        <v>1015</v>
      </c>
      <c r="I83" t="s">
        <v>203</v>
      </c>
      <c r="J83" t="s">
        <v>1026</v>
      </c>
      <c r="K83">
        <v>4650</v>
      </c>
      <c r="L83" s="1">
        <v>43906</v>
      </c>
      <c r="M83" s="1">
        <v>43906</v>
      </c>
      <c r="N83">
        <v>8</v>
      </c>
      <c r="O83" s="4" cm="1">
        <f t="array" ref="O83">_xlfn.IFS(J83="Dell Inspiron 15",66989,J83="Lenovo IdeaPad Slim 3i",34690,J83="Mi NoteBook Ultra",57999,J83="Samsung Galaxy Go",36990,J83="Acer Aspire 3",38980)</f>
        <v>38980</v>
      </c>
      <c r="P83" t="s">
        <v>1029</v>
      </c>
      <c r="Q83" s="1"/>
    </row>
    <row r="84" spans="1:17" x14ac:dyDescent="0.25">
      <c r="A84">
        <v>21112</v>
      </c>
      <c r="B84" t="s">
        <v>204</v>
      </c>
      <c r="C84" t="s">
        <v>205</v>
      </c>
      <c r="D84" t="s">
        <v>1032</v>
      </c>
      <c r="E84" t="s">
        <v>1033</v>
      </c>
      <c r="F84" t="s">
        <v>1009</v>
      </c>
      <c r="G84" t="str">
        <f>UPPER(Table1[[#This Row],[State]])</f>
        <v>BIHAR</v>
      </c>
      <c r="H84" t="s">
        <v>1014</v>
      </c>
      <c r="I84" t="s">
        <v>206</v>
      </c>
      <c r="J84" t="s">
        <v>1022</v>
      </c>
      <c r="K84">
        <v>4783</v>
      </c>
      <c r="L84" s="1">
        <v>43902</v>
      </c>
      <c r="M84" s="1">
        <v>43903</v>
      </c>
      <c r="N84">
        <v>3</v>
      </c>
      <c r="O84" s="4" cm="1">
        <f t="array" ref="O84">_xlfn.IFS(J84="Dell Inspiron 15",66989,J84="Lenovo IdeaPad Slim 3i",34690,J84="Mi NoteBook Ultra",57999,J84="Samsung Galaxy Go",36990,J84="Acer Aspire 3",38980)</f>
        <v>66989</v>
      </c>
      <c r="P84" t="s">
        <v>1029</v>
      </c>
      <c r="Q84" s="1"/>
    </row>
    <row r="85" spans="1:17" x14ac:dyDescent="0.25">
      <c r="A85">
        <v>15027</v>
      </c>
      <c r="B85" t="s">
        <v>51</v>
      </c>
      <c r="C85" t="s">
        <v>207</v>
      </c>
      <c r="D85" t="s">
        <v>1032</v>
      </c>
      <c r="E85" t="s">
        <v>1035</v>
      </c>
      <c r="F85" t="s">
        <v>1011</v>
      </c>
      <c r="G85" t="str">
        <f>UPPER(Table1[[#This Row],[State]])</f>
        <v>GUJARAT</v>
      </c>
      <c r="H85" t="s">
        <v>1016</v>
      </c>
      <c r="I85" t="s">
        <v>208</v>
      </c>
      <c r="J85" t="s">
        <v>1023</v>
      </c>
      <c r="K85">
        <v>5303</v>
      </c>
      <c r="L85" s="1">
        <v>43944</v>
      </c>
      <c r="M85" s="1">
        <v>43945</v>
      </c>
      <c r="N85">
        <v>9</v>
      </c>
      <c r="O85" s="4" cm="1">
        <f t="array" ref="O85">_xlfn.IFS(J85="Dell Inspiron 15",66989,J85="Lenovo IdeaPad Slim 3i",34690,J85="Mi NoteBook Ultra",57999,J85="Samsung Galaxy Go",36990,J85="Acer Aspire 3",38980)</f>
        <v>34690</v>
      </c>
      <c r="P85" t="s">
        <v>1029</v>
      </c>
      <c r="Q85" s="1"/>
    </row>
    <row r="86" spans="1:17" x14ac:dyDescent="0.25">
      <c r="A86">
        <v>13006</v>
      </c>
      <c r="B86" t="s">
        <v>61</v>
      </c>
      <c r="C86" t="s">
        <v>183</v>
      </c>
      <c r="D86" t="s">
        <v>1032</v>
      </c>
      <c r="E86" t="s">
        <v>1035</v>
      </c>
      <c r="F86" t="s">
        <v>1011</v>
      </c>
      <c r="G86" t="str">
        <f>UPPER(Table1[[#This Row],[State]])</f>
        <v>GUJARAT</v>
      </c>
      <c r="H86" t="s">
        <v>1016</v>
      </c>
      <c r="I86" t="s">
        <v>209</v>
      </c>
      <c r="J86" t="s">
        <v>1024</v>
      </c>
      <c r="K86">
        <v>5165</v>
      </c>
      <c r="L86" s="1">
        <v>43852</v>
      </c>
      <c r="M86" s="1">
        <v>43853</v>
      </c>
      <c r="N86">
        <v>2</v>
      </c>
      <c r="O86" s="4" cm="1">
        <f t="array" ref="O86">_xlfn.IFS(J86="Dell Inspiron 15",66989,J86="Lenovo IdeaPad Slim 3i",34690,J86="Mi NoteBook Ultra",57999,J86="Samsung Galaxy Go",36990,J86="Acer Aspire 3",38980)</f>
        <v>57999</v>
      </c>
      <c r="P86" t="s">
        <v>1029</v>
      </c>
      <c r="Q86" s="1"/>
    </row>
    <row r="87" spans="1:17" x14ac:dyDescent="0.25">
      <c r="A87">
        <v>15885</v>
      </c>
      <c r="B87" t="s">
        <v>210</v>
      </c>
      <c r="C87" t="s">
        <v>211</v>
      </c>
      <c r="D87" t="s">
        <v>1032</v>
      </c>
      <c r="E87" t="s">
        <v>1036</v>
      </c>
      <c r="F87" t="s">
        <v>1012</v>
      </c>
      <c r="G87" t="str">
        <f>UPPER(Table1[[#This Row],[State]])</f>
        <v>DELHI</v>
      </c>
      <c r="H87" t="s">
        <v>1017</v>
      </c>
      <c r="I87" t="s">
        <v>212</v>
      </c>
      <c r="J87" t="s">
        <v>1025</v>
      </c>
      <c r="K87">
        <v>4889</v>
      </c>
      <c r="L87" s="1">
        <v>43941</v>
      </c>
      <c r="M87" s="1">
        <v>43943</v>
      </c>
      <c r="N87">
        <v>6</v>
      </c>
      <c r="O87" s="4" cm="1">
        <f t="array" ref="O87">_xlfn.IFS(J87="Dell Inspiron 15",66989,J87="Lenovo IdeaPad Slim 3i",34690,J87="Mi NoteBook Ultra",57999,J87="Samsung Galaxy Go",36990,J87="Acer Aspire 3",38980)</f>
        <v>36990</v>
      </c>
      <c r="P87" t="s">
        <v>1029</v>
      </c>
      <c r="Q87" s="1"/>
    </row>
    <row r="88" spans="1:17" x14ac:dyDescent="0.25">
      <c r="A88">
        <v>22198</v>
      </c>
      <c r="B88" t="s">
        <v>213</v>
      </c>
      <c r="C88" t="s">
        <v>214</v>
      </c>
      <c r="D88" t="s">
        <v>1032</v>
      </c>
      <c r="E88" t="s">
        <v>1036</v>
      </c>
      <c r="F88" t="s">
        <v>1012</v>
      </c>
      <c r="G88" t="str">
        <f>UPPER(Table1[[#This Row],[State]])</f>
        <v>DELHI</v>
      </c>
      <c r="H88" t="s">
        <v>1017</v>
      </c>
      <c r="I88" t="s">
        <v>215</v>
      </c>
      <c r="J88" t="s">
        <v>1026</v>
      </c>
      <c r="K88">
        <v>5311</v>
      </c>
      <c r="L88" s="1">
        <v>43845</v>
      </c>
      <c r="M88" s="1">
        <v>43846</v>
      </c>
      <c r="N88">
        <v>2</v>
      </c>
      <c r="O88" s="4" cm="1">
        <f t="array" ref="O88">_xlfn.IFS(J88="Dell Inspiron 15",66989,J88="Lenovo IdeaPad Slim 3i",34690,J88="Mi NoteBook Ultra",57999,J88="Samsung Galaxy Go",36990,J88="Acer Aspire 3",38980)</f>
        <v>38980</v>
      </c>
      <c r="P88" t="s">
        <v>1029</v>
      </c>
      <c r="Q88" s="1"/>
    </row>
    <row r="89" spans="1:17" x14ac:dyDescent="0.25">
      <c r="A89">
        <v>13789</v>
      </c>
      <c r="B89" t="s">
        <v>216</v>
      </c>
      <c r="C89" t="s">
        <v>217</v>
      </c>
      <c r="D89" t="s">
        <v>1032</v>
      </c>
      <c r="E89" t="s">
        <v>1033</v>
      </c>
      <c r="F89" t="s">
        <v>1009</v>
      </c>
      <c r="G89" t="str">
        <f>UPPER(Table1[[#This Row],[State]])</f>
        <v>BIHAR</v>
      </c>
      <c r="H89" t="s">
        <v>1014</v>
      </c>
      <c r="I89" t="s">
        <v>218</v>
      </c>
      <c r="J89" t="s">
        <v>1022</v>
      </c>
      <c r="K89">
        <v>5363</v>
      </c>
      <c r="L89" s="1">
        <v>43940</v>
      </c>
      <c r="M89" s="1">
        <v>43947</v>
      </c>
      <c r="N89">
        <v>6</v>
      </c>
      <c r="O89" s="4" cm="1">
        <f t="array" ref="O89">_xlfn.IFS(J89="Dell Inspiron 15",66989,J89="Lenovo IdeaPad Slim 3i",34690,J89="Mi NoteBook Ultra",57999,J89="Samsung Galaxy Go",36990,J89="Acer Aspire 3",38980)</f>
        <v>66989</v>
      </c>
      <c r="P89" t="s">
        <v>1029</v>
      </c>
      <c r="Q89" s="1"/>
    </row>
    <row r="90" spans="1:17" x14ac:dyDescent="0.25">
      <c r="A90">
        <v>18521</v>
      </c>
      <c r="B90" t="s">
        <v>219</v>
      </c>
      <c r="C90" t="s">
        <v>220</v>
      </c>
      <c r="D90" t="s">
        <v>1032</v>
      </c>
      <c r="E90" t="s">
        <v>1034</v>
      </c>
      <c r="F90" t="s">
        <v>1010</v>
      </c>
      <c r="G90" t="str">
        <f>UPPER(Table1[[#This Row],[State]])</f>
        <v>PUDUCHERRY</v>
      </c>
      <c r="H90" t="s">
        <v>1015</v>
      </c>
      <c r="I90" t="s">
        <v>221</v>
      </c>
      <c r="J90" t="s">
        <v>1024</v>
      </c>
      <c r="K90">
        <v>4839</v>
      </c>
      <c r="L90" s="1">
        <v>43919</v>
      </c>
      <c r="M90" s="1">
        <v>43922</v>
      </c>
      <c r="N90">
        <v>7</v>
      </c>
      <c r="O90" s="4" cm="1">
        <f t="array" ref="O90">_xlfn.IFS(J90="Dell Inspiron 15",66989,J90="Lenovo IdeaPad Slim 3i",34690,J90="Mi NoteBook Ultra",57999,J90="Samsung Galaxy Go",36990,J90="Acer Aspire 3",38980)</f>
        <v>57999</v>
      </c>
      <c r="P90" t="s">
        <v>1029</v>
      </c>
      <c r="Q90" s="1"/>
    </row>
    <row r="91" spans="1:17" x14ac:dyDescent="0.25">
      <c r="A91">
        <v>20280</v>
      </c>
      <c r="B91" t="s">
        <v>222</v>
      </c>
      <c r="C91" t="s">
        <v>188</v>
      </c>
      <c r="D91" t="s">
        <v>1032</v>
      </c>
      <c r="E91" t="s">
        <v>1033</v>
      </c>
      <c r="F91" t="s">
        <v>1009</v>
      </c>
      <c r="G91" t="str">
        <f>UPPER(Table1[[#This Row],[State]])</f>
        <v>BIHAR</v>
      </c>
      <c r="H91" t="s">
        <v>1014</v>
      </c>
      <c r="I91" t="s">
        <v>223</v>
      </c>
      <c r="J91" t="s">
        <v>1026</v>
      </c>
      <c r="K91">
        <v>4770</v>
      </c>
      <c r="L91" s="1">
        <v>44000</v>
      </c>
      <c r="M91" s="1">
        <v>44004</v>
      </c>
      <c r="N91">
        <v>4</v>
      </c>
      <c r="O91" s="4" cm="1">
        <f t="array" ref="O91">_xlfn.IFS(J91="Dell Inspiron 15",66989,J91="Lenovo IdeaPad Slim 3i",34690,J91="Mi NoteBook Ultra",57999,J91="Samsung Galaxy Go",36990,J91="Acer Aspire 3",38980)</f>
        <v>38980</v>
      </c>
      <c r="P91" t="s">
        <v>1029</v>
      </c>
      <c r="Q91" s="1"/>
    </row>
    <row r="92" spans="1:17" x14ac:dyDescent="0.25">
      <c r="A92">
        <v>22696</v>
      </c>
      <c r="B92" t="s">
        <v>40</v>
      </c>
      <c r="C92" t="s">
        <v>224</v>
      </c>
      <c r="D92" t="s">
        <v>1032</v>
      </c>
      <c r="E92" t="s">
        <v>1035</v>
      </c>
      <c r="F92" t="s">
        <v>1011</v>
      </c>
      <c r="G92" t="str">
        <f>UPPER(Table1[[#This Row],[State]])</f>
        <v>GUJARAT</v>
      </c>
      <c r="H92" t="s">
        <v>1016</v>
      </c>
      <c r="I92" t="s">
        <v>225</v>
      </c>
      <c r="J92" t="s">
        <v>1022</v>
      </c>
      <c r="K92">
        <v>4722</v>
      </c>
      <c r="L92" s="1">
        <v>43965</v>
      </c>
      <c r="M92" s="1">
        <v>43966</v>
      </c>
      <c r="N92">
        <v>4</v>
      </c>
      <c r="O92" s="4" cm="1">
        <f t="array" ref="O92">_xlfn.IFS(J92="Dell Inspiron 15",66989,J92="Lenovo IdeaPad Slim 3i",34690,J92="Mi NoteBook Ultra",57999,J92="Samsung Galaxy Go",36990,J92="Acer Aspire 3",38980)</f>
        <v>66989</v>
      </c>
      <c r="P92" t="s">
        <v>1029</v>
      </c>
      <c r="Q92" s="1"/>
    </row>
    <row r="93" spans="1:17" x14ac:dyDescent="0.25">
      <c r="A93">
        <v>17620</v>
      </c>
      <c r="B93" t="s">
        <v>226</v>
      </c>
      <c r="C93" t="s">
        <v>71</v>
      </c>
      <c r="D93" t="s">
        <v>1032</v>
      </c>
      <c r="E93" t="s">
        <v>1035</v>
      </c>
      <c r="F93" t="s">
        <v>1011</v>
      </c>
      <c r="G93" t="str">
        <f>UPPER(Table1[[#This Row],[State]])</f>
        <v>GUJARAT</v>
      </c>
      <c r="H93" t="s">
        <v>1016</v>
      </c>
      <c r="I93" t="s">
        <v>227</v>
      </c>
      <c r="J93" t="s">
        <v>1023</v>
      </c>
      <c r="K93">
        <v>4689</v>
      </c>
      <c r="L93" s="1">
        <v>43855</v>
      </c>
      <c r="M93" s="1">
        <v>43856</v>
      </c>
      <c r="N93">
        <v>5</v>
      </c>
      <c r="O93" s="4" cm="1">
        <f t="array" ref="O93">_xlfn.IFS(J93="Dell Inspiron 15",66989,J93="Lenovo IdeaPad Slim 3i",34690,J93="Mi NoteBook Ultra",57999,J93="Samsung Galaxy Go",36990,J93="Acer Aspire 3",38980)</f>
        <v>34690</v>
      </c>
      <c r="P93" t="s">
        <v>1029</v>
      </c>
      <c r="Q93" s="1"/>
    </row>
    <row r="94" spans="1:17" x14ac:dyDescent="0.25">
      <c r="A94">
        <v>13339</v>
      </c>
      <c r="B94" t="s">
        <v>19</v>
      </c>
      <c r="C94" t="s">
        <v>128</v>
      </c>
      <c r="D94" t="s">
        <v>1032</v>
      </c>
      <c r="E94" t="s">
        <v>1036</v>
      </c>
      <c r="F94" t="s">
        <v>1012</v>
      </c>
      <c r="G94" t="str">
        <f>UPPER(Table1[[#This Row],[State]])</f>
        <v>DELHI</v>
      </c>
      <c r="H94" t="s">
        <v>1017</v>
      </c>
      <c r="I94" t="s">
        <v>228</v>
      </c>
      <c r="J94" t="s">
        <v>1025</v>
      </c>
      <c r="K94">
        <v>5433</v>
      </c>
      <c r="L94" s="1">
        <v>43832</v>
      </c>
      <c r="M94" s="1">
        <v>43834</v>
      </c>
      <c r="N94">
        <v>4</v>
      </c>
      <c r="O94" s="4" cm="1">
        <f t="array" ref="O94">_xlfn.IFS(J94="Dell Inspiron 15",66989,J94="Lenovo IdeaPad Slim 3i",34690,J94="Mi NoteBook Ultra",57999,J94="Samsung Galaxy Go",36990,J94="Acer Aspire 3",38980)</f>
        <v>36990</v>
      </c>
      <c r="P94" t="s">
        <v>1029</v>
      </c>
      <c r="Q94" s="1"/>
    </row>
    <row r="95" spans="1:17" x14ac:dyDescent="0.25">
      <c r="A95">
        <v>25096</v>
      </c>
      <c r="B95" t="s">
        <v>229</v>
      </c>
      <c r="C95" t="s">
        <v>230</v>
      </c>
      <c r="D95" t="s">
        <v>1032</v>
      </c>
      <c r="E95" t="s">
        <v>1033</v>
      </c>
      <c r="F95" t="s">
        <v>1009</v>
      </c>
      <c r="G95" t="str">
        <f>UPPER(Table1[[#This Row],[State]])</f>
        <v>BIHAR</v>
      </c>
      <c r="H95" t="s">
        <v>1014</v>
      </c>
      <c r="I95" t="s">
        <v>231</v>
      </c>
      <c r="J95" t="s">
        <v>1022</v>
      </c>
      <c r="K95">
        <v>5115</v>
      </c>
      <c r="L95" s="1">
        <v>43832</v>
      </c>
      <c r="M95" s="1">
        <v>43833</v>
      </c>
      <c r="N95">
        <v>2</v>
      </c>
      <c r="O95" s="4" cm="1">
        <f t="array" ref="O95">_xlfn.IFS(J95="Dell Inspiron 15",66989,J95="Lenovo IdeaPad Slim 3i",34690,J95="Mi NoteBook Ultra",57999,J95="Samsung Galaxy Go",36990,J95="Acer Aspire 3",38980)</f>
        <v>66989</v>
      </c>
      <c r="P95" t="s">
        <v>1029</v>
      </c>
      <c r="Q95" s="1"/>
    </row>
    <row r="96" spans="1:17" x14ac:dyDescent="0.25">
      <c r="A96">
        <v>21959</v>
      </c>
      <c r="B96" t="s">
        <v>16</v>
      </c>
      <c r="C96" t="s">
        <v>165</v>
      </c>
      <c r="D96" t="s">
        <v>1032</v>
      </c>
      <c r="E96" t="s">
        <v>1034</v>
      </c>
      <c r="F96" t="s">
        <v>1010</v>
      </c>
      <c r="G96" t="str">
        <f>UPPER(Table1[[#This Row],[State]])</f>
        <v>PUDUCHERRY</v>
      </c>
      <c r="H96" t="s">
        <v>1015</v>
      </c>
      <c r="I96" t="s">
        <v>232</v>
      </c>
      <c r="J96" t="s">
        <v>1026</v>
      </c>
      <c r="K96">
        <v>4608</v>
      </c>
      <c r="L96" s="1">
        <v>43841</v>
      </c>
      <c r="M96" s="1">
        <v>43848</v>
      </c>
      <c r="N96">
        <v>9</v>
      </c>
      <c r="O96" s="4" cm="1">
        <f t="array" ref="O96">_xlfn.IFS(J96="Dell Inspiron 15",66989,J96="Lenovo IdeaPad Slim 3i",34690,J96="Mi NoteBook Ultra",57999,J96="Samsung Galaxy Go",36990,J96="Acer Aspire 3",38980)</f>
        <v>38980</v>
      </c>
      <c r="P96" t="s">
        <v>1029</v>
      </c>
      <c r="Q96" s="1"/>
    </row>
    <row r="97" spans="1:17" x14ac:dyDescent="0.25">
      <c r="A97">
        <v>12670</v>
      </c>
      <c r="B97" t="s">
        <v>233</v>
      </c>
      <c r="C97" t="s">
        <v>23</v>
      </c>
      <c r="D97" t="s">
        <v>1032</v>
      </c>
      <c r="E97" t="s">
        <v>1033</v>
      </c>
      <c r="F97" t="s">
        <v>1009</v>
      </c>
      <c r="G97" t="str">
        <f>UPPER(Table1[[#This Row],[State]])</f>
        <v>BIHAR</v>
      </c>
      <c r="H97" t="s">
        <v>1014</v>
      </c>
      <c r="I97" t="s">
        <v>234</v>
      </c>
      <c r="J97" t="s">
        <v>1024</v>
      </c>
      <c r="K97">
        <v>4721</v>
      </c>
      <c r="L97" s="1">
        <v>43833</v>
      </c>
      <c r="M97" s="1">
        <v>43835</v>
      </c>
      <c r="N97">
        <v>3</v>
      </c>
      <c r="O97" s="4" cm="1">
        <f t="array" ref="O97">_xlfn.IFS(J97="Dell Inspiron 15",66989,J97="Lenovo IdeaPad Slim 3i",34690,J97="Mi NoteBook Ultra",57999,J97="Samsung Galaxy Go",36990,J97="Acer Aspire 3",38980)</f>
        <v>57999</v>
      </c>
      <c r="P97" t="s">
        <v>1029</v>
      </c>
      <c r="Q97" s="1"/>
    </row>
    <row r="98" spans="1:17" x14ac:dyDescent="0.25">
      <c r="A98">
        <v>25589</v>
      </c>
      <c r="B98" t="s">
        <v>235</v>
      </c>
      <c r="C98" t="s">
        <v>80</v>
      </c>
      <c r="D98" t="s">
        <v>1032</v>
      </c>
      <c r="E98" t="s">
        <v>1035</v>
      </c>
      <c r="F98" t="s">
        <v>1011</v>
      </c>
      <c r="G98" t="str">
        <f>UPPER(Table1[[#This Row],[State]])</f>
        <v>GUJARAT</v>
      </c>
      <c r="H98" t="s">
        <v>1016</v>
      </c>
      <c r="I98" t="s">
        <v>236</v>
      </c>
      <c r="J98" t="s">
        <v>1025</v>
      </c>
      <c r="K98">
        <v>5118</v>
      </c>
      <c r="L98" s="1">
        <v>43833</v>
      </c>
      <c r="M98" s="1">
        <v>43840</v>
      </c>
      <c r="N98">
        <v>1</v>
      </c>
      <c r="O98" s="4" cm="1">
        <f t="array" ref="O98">_xlfn.IFS(J98="Dell Inspiron 15",66989,J98="Lenovo IdeaPad Slim 3i",34690,J98="Mi NoteBook Ultra",57999,J98="Samsung Galaxy Go",36990,J98="Acer Aspire 3",38980)</f>
        <v>36990</v>
      </c>
      <c r="P98" t="s">
        <v>1029</v>
      </c>
      <c r="Q98" s="1"/>
    </row>
    <row r="99" spans="1:17" x14ac:dyDescent="0.25">
      <c r="A99">
        <v>18955</v>
      </c>
      <c r="B99" t="s">
        <v>169</v>
      </c>
      <c r="C99" t="s">
        <v>214</v>
      </c>
      <c r="D99" t="s">
        <v>1032</v>
      </c>
      <c r="E99" t="s">
        <v>1035</v>
      </c>
      <c r="F99" t="s">
        <v>1011</v>
      </c>
      <c r="G99" t="str">
        <f>UPPER(Table1[[#This Row],[State]])</f>
        <v>GUJARAT</v>
      </c>
      <c r="H99" t="s">
        <v>1016</v>
      </c>
      <c r="I99" t="s">
        <v>237</v>
      </c>
      <c r="J99" t="s">
        <v>1026</v>
      </c>
      <c r="K99">
        <v>4618</v>
      </c>
      <c r="L99" s="1">
        <v>43833</v>
      </c>
      <c r="M99" s="1">
        <v>43837</v>
      </c>
      <c r="N99">
        <v>2</v>
      </c>
      <c r="O99" s="4" cm="1">
        <f t="array" ref="O99">_xlfn.IFS(J99="Dell Inspiron 15",66989,J99="Lenovo IdeaPad Slim 3i",34690,J99="Mi NoteBook Ultra",57999,J99="Samsung Galaxy Go",36990,J99="Acer Aspire 3",38980)</f>
        <v>38980</v>
      </c>
      <c r="P99" t="s">
        <v>1029</v>
      </c>
      <c r="Q99" s="1"/>
    </row>
    <row r="100" spans="1:17" x14ac:dyDescent="0.25">
      <c r="A100">
        <v>21393</v>
      </c>
      <c r="B100" t="s">
        <v>222</v>
      </c>
      <c r="C100" t="s">
        <v>6</v>
      </c>
      <c r="D100" t="s">
        <v>1032</v>
      </c>
      <c r="E100" t="s">
        <v>1036</v>
      </c>
      <c r="F100" t="s">
        <v>1012</v>
      </c>
      <c r="G100" t="str">
        <f>UPPER(Table1[[#This Row],[State]])</f>
        <v>DELHI</v>
      </c>
      <c r="H100" t="s">
        <v>1017</v>
      </c>
      <c r="I100" t="s">
        <v>238</v>
      </c>
      <c r="J100" t="s">
        <v>1022</v>
      </c>
      <c r="K100">
        <v>5129</v>
      </c>
      <c r="L100" s="1">
        <v>43934</v>
      </c>
      <c r="M100" s="1">
        <v>43936</v>
      </c>
      <c r="N100">
        <v>9</v>
      </c>
      <c r="O100" s="4" cm="1">
        <f t="array" ref="O100">_xlfn.IFS(J100="Dell Inspiron 15",66989,J100="Lenovo IdeaPad Slim 3i",34690,J100="Mi NoteBook Ultra",57999,J100="Samsung Galaxy Go",36990,J100="Acer Aspire 3",38980)</f>
        <v>66989</v>
      </c>
      <c r="P100" t="s">
        <v>1029</v>
      </c>
      <c r="Q100" s="1"/>
    </row>
    <row r="101" spans="1:17" x14ac:dyDescent="0.25">
      <c r="A101">
        <v>25165</v>
      </c>
      <c r="B101" t="s">
        <v>239</v>
      </c>
      <c r="C101" t="s">
        <v>188</v>
      </c>
      <c r="D101" t="s">
        <v>1032</v>
      </c>
      <c r="E101" t="s">
        <v>1033</v>
      </c>
      <c r="F101" t="s">
        <v>1009</v>
      </c>
      <c r="G101" t="str">
        <f>UPPER(Table1[[#This Row],[State]])</f>
        <v>BIHAR</v>
      </c>
      <c r="H101" t="s">
        <v>1014</v>
      </c>
      <c r="I101" t="s">
        <v>240</v>
      </c>
      <c r="J101" t="s">
        <v>1024</v>
      </c>
      <c r="K101">
        <v>4558</v>
      </c>
      <c r="L101" s="1">
        <v>43882</v>
      </c>
      <c r="M101" s="1">
        <v>43882</v>
      </c>
      <c r="N101">
        <v>2</v>
      </c>
      <c r="O101" s="4" cm="1">
        <f t="array" ref="O101">_xlfn.IFS(J101="Dell Inspiron 15",66989,J101="Lenovo IdeaPad Slim 3i",34690,J101="Mi NoteBook Ultra",57999,J101="Samsung Galaxy Go",36990,J101="Acer Aspire 3",38980)</f>
        <v>57999</v>
      </c>
      <c r="P101" t="s">
        <v>1029</v>
      </c>
      <c r="Q101" s="1"/>
    </row>
    <row r="102" spans="1:17" x14ac:dyDescent="0.25">
      <c r="A102">
        <v>17461</v>
      </c>
      <c r="B102" t="s">
        <v>40</v>
      </c>
      <c r="C102" t="s">
        <v>38</v>
      </c>
      <c r="D102" t="s">
        <v>1032</v>
      </c>
      <c r="E102" t="s">
        <v>1034</v>
      </c>
      <c r="F102" t="s">
        <v>1010</v>
      </c>
      <c r="G102" t="str">
        <f>UPPER(Table1[[#This Row],[State]])</f>
        <v>PUDUCHERRY</v>
      </c>
      <c r="H102" t="s">
        <v>1015</v>
      </c>
      <c r="I102" t="s">
        <v>241</v>
      </c>
      <c r="J102" t="s">
        <v>1026</v>
      </c>
      <c r="K102">
        <v>5315</v>
      </c>
      <c r="L102" s="1">
        <v>43973</v>
      </c>
      <c r="M102" s="1">
        <v>43974</v>
      </c>
      <c r="N102">
        <v>5</v>
      </c>
      <c r="O102" s="4" cm="1">
        <f t="array" ref="O102">_xlfn.IFS(J102="Dell Inspiron 15",66989,J102="Lenovo IdeaPad Slim 3i",34690,J102="Mi NoteBook Ultra",57999,J102="Samsung Galaxy Go",36990,J102="Acer Aspire 3",38980)</f>
        <v>38980</v>
      </c>
      <c r="P102" t="s">
        <v>1029</v>
      </c>
      <c r="Q102" s="1"/>
    </row>
    <row r="103" spans="1:17" x14ac:dyDescent="0.25">
      <c r="A103">
        <v>20581</v>
      </c>
      <c r="B103" t="s">
        <v>242</v>
      </c>
      <c r="C103" t="s">
        <v>207</v>
      </c>
      <c r="D103" t="s">
        <v>1032</v>
      </c>
      <c r="E103" t="s">
        <v>1033</v>
      </c>
      <c r="F103" t="s">
        <v>1009</v>
      </c>
      <c r="G103" t="str">
        <f>UPPER(Table1[[#This Row],[State]])</f>
        <v>BIHAR</v>
      </c>
      <c r="H103" t="s">
        <v>1014</v>
      </c>
      <c r="I103" t="s">
        <v>243</v>
      </c>
      <c r="J103" t="s">
        <v>1022</v>
      </c>
      <c r="K103">
        <v>5518</v>
      </c>
      <c r="L103" s="1">
        <v>43882</v>
      </c>
      <c r="M103" s="1">
        <v>43882</v>
      </c>
      <c r="N103">
        <v>8</v>
      </c>
      <c r="O103" s="4" cm="1">
        <f t="array" ref="O103">_xlfn.IFS(J103="Dell Inspiron 15",66989,J103="Lenovo IdeaPad Slim 3i",34690,J103="Mi NoteBook Ultra",57999,J103="Samsung Galaxy Go",36990,J103="Acer Aspire 3",38980)</f>
        <v>66989</v>
      </c>
      <c r="P103" t="s">
        <v>1029</v>
      </c>
      <c r="Q103" s="1"/>
    </row>
    <row r="104" spans="1:17" x14ac:dyDescent="0.25">
      <c r="A104">
        <v>24967</v>
      </c>
      <c r="B104" t="s">
        <v>150</v>
      </c>
      <c r="C104" t="s">
        <v>98</v>
      </c>
      <c r="D104" t="s">
        <v>1032</v>
      </c>
      <c r="E104" t="s">
        <v>1035</v>
      </c>
      <c r="F104" t="s">
        <v>1011</v>
      </c>
      <c r="G104" t="str">
        <f>UPPER(Table1[[#This Row],[State]])</f>
        <v>GUJARAT</v>
      </c>
      <c r="H104" t="s">
        <v>1016</v>
      </c>
      <c r="I104" t="s">
        <v>244</v>
      </c>
      <c r="J104" t="s">
        <v>1023</v>
      </c>
      <c r="K104">
        <v>4679</v>
      </c>
      <c r="L104" s="1">
        <v>43973</v>
      </c>
      <c r="M104" s="1">
        <v>43973</v>
      </c>
      <c r="N104">
        <v>1</v>
      </c>
      <c r="O104" s="4" cm="1">
        <f t="array" ref="O104">_xlfn.IFS(J104="Dell Inspiron 15",66989,J104="Lenovo IdeaPad Slim 3i",34690,J104="Mi NoteBook Ultra",57999,J104="Samsung Galaxy Go",36990,J104="Acer Aspire 3",38980)</f>
        <v>34690</v>
      </c>
      <c r="P104" t="s">
        <v>1029</v>
      </c>
      <c r="Q104" s="1"/>
    </row>
    <row r="105" spans="1:17" x14ac:dyDescent="0.25">
      <c r="A105">
        <v>12801</v>
      </c>
      <c r="B105" t="s">
        <v>245</v>
      </c>
      <c r="C105" t="s">
        <v>26</v>
      </c>
      <c r="D105" t="s">
        <v>1032</v>
      </c>
      <c r="E105" t="s">
        <v>1035</v>
      </c>
      <c r="F105" t="s">
        <v>1011</v>
      </c>
      <c r="G105" t="str">
        <f>UPPER(Table1[[#This Row],[State]])</f>
        <v>GUJARAT</v>
      </c>
      <c r="H105" t="s">
        <v>1016</v>
      </c>
      <c r="I105" t="s">
        <v>246</v>
      </c>
      <c r="J105" t="s">
        <v>1022</v>
      </c>
      <c r="K105">
        <v>5060</v>
      </c>
      <c r="L105" s="1">
        <v>43973</v>
      </c>
      <c r="M105" s="1">
        <v>43974</v>
      </c>
      <c r="N105">
        <v>9</v>
      </c>
      <c r="O105" s="4" cm="1">
        <f t="array" ref="O105">_xlfn.IFS(J105="Dell Inspiron 15",66989,J105="Lenovo IdeaPad Slim 3i",34690,J105="Mi NoteBook Ultra",57999,J105="Samsung Galaxy Go",36990,J105="Acer Aspire 3",38980)</f>
        <v>66989</v>
      </c>
      <c r="P105" t="s">
        <v>1029</v>
      </c>
      <c r="Q105" s="1"/>
    </row>
    <row r="106" spans="1:17" x14ac:dyDescent="0.25">
      <c r="A106">
        <v>24513</v>
      </c>
      <c r="B106" t="s">
        <v>247</v>
      </c>
      <c r="C106" t="s">
        <v>248</v>
      </c>
      <c r="D106" t="s">
        <v>1032</v>
      </c>
      <c r="E106" t="s">
        <v>1034</v>
      </c>
      <c r="F106" t="s">
        <v>1010</v>
      </c>
      <c r="G106" t="str">
        <f>UPPER(Table1[[#This Row],[State]])</f>
        <v>PUDUCHERRY</v>
      </c>
      <c r="H106" t="s">
        <v>1015</v>
      </c>
      <c r="I106" t="s">
        <v>249</v>
      </c>
      <c r="J106" t="s">
        <v>1023</v>
      </c>
      <c r="K106">
        <v>5331</v>
      </c>
      <c r="L106" s="1">
        <v>43873</v>
      </c>
      <c r="M106" s="1">
        <v>43874</v>
      </c>
      <c r="N106">
        <v>9</v>
      </c>
      <c r="O106" s="4" cm="1">
        <f t="array" ref="O106">_xlfn.IFS(J106="Dell Inspiron 15",66989,J106="Lenovo IdeaPad Slim 3i",34690,J106="Mi NoteBook Ultra",57999,J106="Samsung Galaxy Go",36990,J106="Acer Aspire 3",38980)</f>
        <v>34690</v>
      </c>
      <c r="P106" t="s">
        <v>1029</v>
      </c>
      <c r="Q106" s="1"/>
    </row>
    <row r="107" spans="1:17" x14ac:dyDescent="0.25">
      <c r="A107">
        <v>19752</v>
      </c>
      <c r="B107" t="s">
        <v>73</v>
      </c>
      <c r="C107" t="s">
        <v>29</v>
      </c>
      <c r="D107" t="s">
        <v>1032</v>
      </c>
      <c r="E107" t="s">
        <v>1033</v>
      </c>
      <c r="F107" t="s">
        <v>1009</v>
      </c>
      <c r="G107" t="str">
        <f>UPPER(Table1[[#This Row],[State]])</f>
        <v>BIHAR</v>
      </c>
      <c r="H107" t="s">
        <v>1014</v>
      </c>
      <c r="I107" t="s">
        <v>250</v>
      </c>
      <c r="J107" t="s">
        <v>1024</v>
      </c>
      <c r="K107">
        <v>5008</v>
      </c>
      <c r="L107" s="1">
        <v>43873</v>
      </c>
      <c r="M107" s="1">
        <v>43876</v>
      </c>
      <c r="N107">
        <v>10</v>
      </c>
      <c r="O107" s="4" cm="1">
        <f t="array" ref="O107">_xlfn.IFS(J107="Dell Inspiron 15",66989,J107="Lenovo IdeaPad Slim 3i",34690,J107="Mi NoteBook Ultra",57999,J107="Samsung Galaxy Go",36990,J107="Acer Aspire 3",38980)</f>
        <v>57999</v>
      </c>
      <c r="P107" t="s">
        <v>1029</v>
      </c>
      <c r="Q107" s="1"/>
    </row>
    <row r="108" spans="1:17" x14ac:dyDescent="0.25">
      <c r="A108">
        <v>12954</v>
      </c>
      <c r="B108" t="s">
        <v>172</v>
      </c>
      <c r="C108" t="s">
        <v>251</v>
      </c>
      <c r="D108" t="s">
        <v>1032</v>
      </c>
      <c r="E108" t="s">
        <v>1035</v>
      </c>
      <c r="F108" t="s">
        <v>1011</v>
      </c>
      <c r="G108" t="str">
        <f>UPPER(Table1[[#This Row],[State]])</f>
        <v>GUJARAT</v>
      </c>
      <c r="H108" t="s">
        <v>1016</v>
      </c>
      <c r="I108" t="s">
        <v>252</v>
      </c>
      <c r="J108" t="s">
        <v>1025</v>
      </c>
      <c r="K108">
        <v>4961</v>
      </c>
      <c r="L108" s="1">
        <v>43930</v>
      </c>
      <c r="M108" s="1">
        <v>43932</v>
      </c>
      <c r="N108">
        <v>10</v>
      </c>
      <c r="O108" s="4" cm="1">
        <f t="array" ref="O108">_xlfn.IFS(J108="Dell Inspiron 15",66989,J108="Lenovo IdeaPad Slim 3i",34690,J108="Mi NoteBook Ultra",57999,J108="Samsung Galaxy Go",36990,J108="Acer Aspire 3",38980)</f>
        <v>36990</v>
      </c>
      <c r="P108" t="s">
        <v>1029</v>
      </c>
      <c r="Q108" s="1"/>
    </row>
    <row r="109" spans="1:17" x14ac:dyDescent="0.25">
      <c r="A109">
        <v>16063</v>
      </c>
      <c r="B109" t="s">
        <v>133</v>
      </c>
      <c r="C109" t="s">
        <v>253</v>
      </c>
      <c r="D109" t="s">
        <v>1032</v>
      </c>
      <c r="E109" t="s">
        <v>1035</v>
      </c>
      <c r="F109" t="s">
        <v>1011</v>
      </c>
      <c r="G109" t="str">
        <f>UPPER(Table1[[#This Row],[State]])</f>
        <v>GUJARAT</v>
      </c>
      <c r="H109" t="s">
        <v>1016</v>
      </c>
      <c r="I109" t="s">
        <v>254</v>
      </c>
      <c r="J109" t="s">
        <v>1026</v>
      </c>
      <c r="K109">
        <v>4530</v>
      </c>
      <c r="L109" s="1">
        <v>43930</v>
      </c>
      <c r="M109" s="1">
        <v>43930</v>
      </c>
      <c r="N109">
        <v>6</v>
      </c>
      <c r="O109" s="4" cm="1">
        <f t="array" ref="O109">_xlfn.IFS(J109="Dell Inspiron 15",66989,J109="Lenovo IdeaPad Slim 3i",34690,J109="Mi NoteBook Ultra",57999,J109="Samsung Galaxy Go",36990,J109="Acer Aspire 3",38980)</f>
        <v>38980</v>
      </c>
      <c r="P109" t="s">
        <v>1029</v>
      </c>
      <c r="Q109" s="1"/>
    </row>
    <row r="110" spans="1:17" x14ac:dyDescent="0.25">
      <c r="A110">
        <v>14206</v>
      </c>
      <c r="B110" t="s">
        <v>213</v>
      </c>
      <c r="C110" t="s">
        <v>255</v>
      </c>
      <c r="D110" t="s">
        <v>1032</v>
      </c>
      <c r="E110" t="s">
        <v>1036</v>
      </c>
      <c r="F110" t="s">
        <v>1012</v>
      </c>
      <c r="G110" t="str">
        <f>UPPER(Table1[[#This Row],[State]])</f>
        <v>DELHI</v>
      </c>
      <c r="H110" t="s">
        <v>1017</v>
      </c>
      <c r="I110" t="s">
        <v>256</v>
      </c>
      <c r="J110" t="s">
        <v>1022</v>
      </c>
      <c r="K110">
        <v>4662</v>
      </c>
      <c r="L110" s="1">
        <v>43930</v>
      </c>
      <c r="M110" s="1">
        <v>43931</v>
      </c>
      <c r="N110">
        <v>6</v>
      </c>
      <c r="O110" s="4" cm="1">
        <f t="array" ref="O110">_xlfn.IFS(J110="Dell Inspiron 15",66989,J110="Lenovo IdeaPad Slim 3i",34690,J110="Mi NoteBook Ultra",57999,J110="Samsung Galaxy Go",36990,J110="Acer Aspire 3",38980)</f>
        <v>66989</v>
      </c>
      <c r="P110" t="s">
        <v>1029</v>
      </c>
      <c r="Q110" s="1"/>
    </row>
    <row r="111" spans="1:17" x14ac:dyDescent="0.25">
      <c r="A111">
        <v>17253</v>
      </c>
      <c r="B111" t="s">
        <v>257</v>
      </c>
      <c r="C111" t="s">
        <v>258</v>
      </c>
      <c r="D111" t="s">
        <v>1032</v>
      </c>
      <c r="E111" t="s">
        <v>1033</v>
      </c>
      <c r="F111" t="s">
        <v>1009</v>
      </c>
      <c r="G111" t="str">
        <f>UPPER(Table1[[#This Row],[State]])</f>
        <v>BIHAR</v>
      </c>
      <c r="H111" t="s">
        <v>1014</v>
      </c>
      <c r="I111" t="s">
        <v>259</v>
      </c>
      <c r="J111" t="s">
        <v>1024</v>
      </c>
      <c r="K111">
        <v>5080</v>
      </c>
      <c r="L111" s="1">
        <v>43833</v>
      </c>
      <c r="M111" s="1">
        <v>43835</v>
      </c>
      <c r="N111">
        <v>5</v>
      </c>
      <c r="O111" s="4" cm="1">
        <f t="array" ref="O111">_xlfn.IFS(J111="Dell Inspiron 15",66989,J111="Lenovo IdeaPad Slim 3i",34690,J111="Mi NoteBook Ultra",57999,J111="Samsung Galaxy Go",36990,J111="Acer Aspire 3",38980)</f>
        <v>57999</v>
      </c>
      <c r="P111" t="s">
        <v>1029</v>
      </c>
      <c r="Q111" s="1"/>
    </row>
    <row r="112" spans="1:17" x14ac:dyDescent="0.25">
      <c r="A112">
        <v>18940</v>
      </c>
      <c r="B112" t="s">
        <v>260</v>
      </c>
      <c r="C112" t="s">
        <v>261</v>
      </c>
      <c r="D112" t="s">
        <v>1032</v>
      </c>
      <c r="E112" t="s">
        <v>1034</v>
      </c>
      <c r="F112" t="s">
        <v>1010</v>
      </c>
      <c r="G112" t="str">
        <f>UPPER(Table1[[#This Row],[State]])</f>
        <v>PUDUCHERRY</v>
      </c>
      <c r="H112" t="s">
        <v>1015</v>
      </c>
      <c r="I112" t="s">
        <v>262</v>
      </c>
      <c r="J112" t="s">
        <v>1026</v>
      </c>
      <c r="K112">
        <v>5246</v>
      </c>
      <c r="L112" s="1">
        <v>43920</v>
      </c>
      <c r="M112" s="1">
        <v>43922</v>
      </c>
      <c r="N112">
        <v>5</v>
      </c>
      <c r="O112" s="4" cm="1">
        <f t="array" ref="O112">_xlfn.IFS(J112="Dell Inspiron 15",66989,J112="Lenovo IdeaPad Slim 3i",34690,J112="Mi NoteBook Ultra",57999,J112="Samsung Galaxy Go",36990,J112="Acer Aspire 3",38980)</f>
        <v>38980</v>
      </c>
      <c r="P112" t="s">
        <v>1029</v>
      </c>
      <c r="Q112" s="1"/>
    </row>
    <row r="113" spans="1:17" x14ac:dyDescent="0.25">
      <c r="A113">
        <v>20283</v>
      </c>
      <c r="B113" t="s">
        <v>219</v>
      </c>
      <c r="C113" t="s">
        <v>196</v>
      </c>
      <c r="D113" t="s">
        <v>1032</v>
      </c>
      <c r="E113" t="s">
        <v>1033</v>
      </c>
      <c r="F113" t="s">
        <v>1009</v>
      </c>
      <c r="G113" t="str">
        <f>UPPER(Table1[[#This Row],[State]])</f>
        <v>BIHAR</v>
      </c>
      <c r="H113" t="s">
        <v>1014</v>
      </c>
      <c r="I113" t="s">
        <v>263</v>
      </c>
      <c r="J113" t="s">
        <v>1022</v>
      </c>
      <c r="K113">
        <v>4952</v>
      </c>
      <c r="L113" s="1">
        <v>43840</v>
      </c>
      <c r="M113" s="1">
        <v>43841</v>
      </c>
      <c r="N113">
        <v>9</v>
      </c>
      <c r="O113" s="4" cm="1">
        <f t="array" ref="O113">_xlfn.IFS(J113="Dell Inspiron 15",66989,J113="Lenovo IdeaPad Slim 3i",34690,J113="Mi NoteBook Ultra",57999,J113="Samsung Galaxy Go",36990,J113="Acer Aspire 3",38980)</f>
        <v>66989</v>
      </c>
      <c r="P113" t="s">
        <v>1029</v>
      </c>
      <c r="Q113" s="1"/>
    </row>
    <row r="114" spans="1:17" x14ac:dyDescent="0.25">
      <c r="A114">
        <v>18690</v>
      </c>
      <c r="B114" t="s">
        <v>264</v>
      </c>
      <c r="C114" t="s">
        <v>95</v>
      </c>
      <c r="D114" t="s">
        <v>1032</v>
      </c>
      <c r="E114" t="s">
        <v>1035</v>
      </c>
      <c r="F114" t="s">
        <v>1011</v>
      </c>
      <c r="G114" t="str">
        <f>UPPER(Table1[[#This Row],[State]])</f>
        <v>GUJARAT</v>
      </c>
      <c r="H114" t="s">
        <v>1016</v>
      </c>
      <c r="I114" t="s">
        <v>265</v>
      </c>
      <c r="J114" t="s">
        <v>1023</v>
      </c>
      <c r="K114">
        <v>4967</v>
      </c>
      <c r="L114" s="1">
        <v>43920</v>
      </c>
      <c r="M114" s="1">
        <v>43922</v>
      </c>
      <c r="N114">
        <v>7</v>
      </c>
      <c r="O114" s="4" cm="1">
        <f t="array" ref="O114">_xlfn.IFS(J114="Dell Inspiron 15",66989,J114="Lenovo IdeaPad Slim 3i",34690,J114="Mi NoteBook Ultra",57999,J114="Samsung Galaxy Go",36990,J114="Acer Aspire 3",38980)</f>
        <v>34690</v>
      </c>
      <c r="P114" t="s">
        <v>1029</v>
      </c>
      <c r="Q114" s="1"/>
    </row>
    <row r="115" spans="1:17" x14ac:dyDescent="0.25">
      <c r="A115">
        <v>25256</v>
      </c>
      <c r="B115" t="s">
        <v>177</v>
      </c>
      <c r="C115" t="s">
        <v>266</v>
      </c>
      <c r="D115" t="s">
        <v>1032</v>
      </c>
      <c r="E115" t="s">
        <v>1035</v>
      </c>
      <c r="F115" t="s">
        <v>1011</v>
      </c>
      <c r="G115" t="str">
        <f>UPPER(Table1[[#This Row],[State]])</f>
        <v>GUJARAT</v>
      </c>
      <c r="H115" t="s">
        <v>1016</v>
      </c>
      <c r="I115" t="s">
        <v>267</v>
      </c>
      <c r="J115" t="s">
        <v>1025</v>
      </c>
      <c r="K115">
        <v>5039</v>
      </c>
      <c r="L115" s="1">
        <v>43923</v>
      </c>
      <c r="M115" s="1">
        <v>43925</v>
      </c>
      <c r="N115">
        <v>10</v>
      </c>
      <c r="O115" s="4" cm="1">
        <f t="array" ref="O115">_xlfn.IFS(J115="Dell Inspiron 15",66989,J115="Lenovo IdeaPad Slim 3i",34690,J115="Mi NoteBook Ultra",57999,J115="Samsung Galaxy Go",36990,J115="Acer Aspire 3",38980)</f>
        <v>36990</v>
      </c>
      <c r="P115" t="s">
        <v>1029</v>
      </c>
      <c r="Q115" s="1"/>
    </row>
    <row r="116" spans="1:17" x14ac:dyDescent="0.25">
      <c r="A116">
        <v>21441</v>
      </c>
      <c r="B116" t="s">
        <v>10</v>
      </c>
      <c r="C116" t="s">
        <v>268</v>
      </c>
      <c r="D116" t="s">
        <v>1032</v>
      </c>
      <c r="E116" t="s">
        <v>1036</v>
      </c>
      <c r="F116" t="s">
        <v>1012</v>
      </c>
      <c r="G116" t="str">
        <f>UPPER(Table1[[#This Row],[State]])</f>
        <v>DELHI</v>
      </c>
      <c r="H116" t="s">
        <v>1017</v>
      </c>
      <c r="I116" t="s">
        <v>269</v>
      </c>
      <c r="J116" t="s">
        <v>1022</v>
      </c>
      <c r="K116">
        <v>5417</v>
      </c>
      <c r="L116" s="1">
        <v>43923</v>
      </c>
      <c r="M116" s="1">
        <v>43925</v>
      </c>
      <c r="N116">
        <v>10</v>
      </c>
      <c r="O116" s="4" cm="1">
        <f t="array" ref="O116">_xlfn.IFS(J116="Dell Inspiron 15",66989,J116="Lenovo IdeaPad Slim 3i",34690,J116="Mi NoteBook Ultra",57999,J116="Samsung Galaxy Go",36990,J116="Acer Aspire 3",38980)</f>
        <v>66989</v>
      </c>
      <c r="P116" t="s">
        <v>1029</v>
      </c>
      <c r="Q116" s="1"/>
    </row>
    <row r="117" spans="1:17" x14ac:dyDescent="0.25">
      <c r="A117">
        <v>24863</v>
      </c>
      <c r="B117" t="s">
        <v>22</v>
      </c>
      <c r="C117" t="s">
        <v>270</v>
      </c>
      <c r="D117" t="s">
        <v>1032</v>
      </c>
      <c r="E117" t="s">
        <v>1033</v>
      </c>
      <c r="F117" t="s">
        <v>1009</v>
      </c>
      <c r="G117" t="str">
        <f>UPPER(Table1[[#This Row],[State]])</f>
        <v>BIHAR</v>
      </c>
      <c r="H117" t="s">
        <v>1014</v>
      </c>
      <c r="I117" t="s">
        <v>271</v>
      </c>
      <c r="J117" t="s">
        <v>1026</v>
      </c>
      <c r="K117">
        <v>5303</v>
      </c>
      <c r="L117" s="1">
        <v>43948</v>
      </c>
      <c r="M117" s="1">
        <v>43949</v>
      </c>
      <c r="N117">
        <v>8</v>
      </c>
      <c r="O117" s="4" cm="1">
        <f t="array" ref="O117">_xlfn.IFS(J117="Dell Inspiron 15",66989,J117="Lenovo IdeaPad Slim 3i",34690,J117="Mi NoteBook Ultra",57999,J117="Samsung Galaxy Go",36990,J117="Acer Aspire 3",38980)</f>
        <v>38980</v>
      </c>
      <c r="P117" t="s">
        <v>1029</v>
      </c>
      <c r="Q117" s="1"/>
    </row>
    <row r="118" spans="1:17" x14ac:dyDescent="0.25">
      <c r="A118">
        <v>24048</v>
      </c>
      <c r="B118" t="s">
        <v>94</v>
      </c>
      <c r="C118" t="s">
        <v>272</v>
      </c>
      <c r="D118" t="s">
        <v>1032</v>
      </c>
      <c r="E118" t="s">
        <v>1034</v>
      </c>
      <c r="F118" t="s">
        <v>1010</v>
      </c>
      <c r="G118" t="str">
        <f>UPPER(Table1[[#This Row],[State]])</f>
        <v>PUDUCHERRY</v>
      </c>
      <c r="H118" t="s">
        <v>1015</v>
      </c>
      <c r="I118" t="s">
        <v>273</v>
      </c>
      <c r="J118" t="s">
        <v>1025</v>
      </c>
      <c r="K118">
        <v>5486</v>
      </c>
      <c r="L118" s="1">
        <v>43846</v>
      </c>
      <c r="M118" s="1">
        <v>43848</v>
      </c>
      <c r="N118">
        <v>10</v>
      </c>
      <c r="O118" s="4" cm="1">
        <f t="array" ref="O118">_xlfn.IFS(J118="Dell Inspiron 15",66989,J118="Lenovo IdeaPad Slim 3i",34690,J118="Mi NoteBook Ultra",57999,J118="Samsung Galaxy Go",36990,J118="Acer Aspire 3",38980)</f>
        <v>36990</v>
      </c>
      <c r="P118" t="s">
        <v>1029</v>
      </c>
      <c r="Q118" s="1"/>
    </row>
    <row r="119" spans="1:17" x14ac:dyDescent="0.25">
      <c r="A119">
        <v>13748</v>
      </c>
      <c r="B119" t="s">
        <v>274</v>
      </c>
      <c r="C119" t="s">
        <v>113</v>
      </c>
      <c r="D119" t="s">
        <v>1032</v>
      </c>
      <c r="E119" t="s">
        <v>1033</v>
      </c>
      <c r="F119" t="s">
        <v>1009</v>
      </c>
      <c r="G119" t="str">
        <f>UPPER(Table1[[#This Row],[State]])</f>
        <v>BIHAR</v>
      </c>
      <c r="H119" t="s">
        <v>1014</v>
      </c>
      <c r="I119" t="s">
        <v>275</v>
      </c>
      <c r="J119" t="s">
        <v>1026</v>
      </c>
      <c r="K119">
        <v>4739</v>
      </c>
      <c r="L119" s="1">
        <v>43847</v>
      </c>
      <c r="M119" s="1">
        <v>43851</v>
      </c>
      <c r="N119">
        <v>8</v>
      </c>
      <c r="O119" s="4" cm="1">
        <f t="array" ref="O119">_xlfn.IFS(J119="Dell Inspiron 15",66989,J119="Lenovo IdeaPad Slim 3i",34690,J119="Mi NoteBook Ultra",57999,J119="Samsung Galaxy Go",36990,J119="Acer Aspire 3",38980)</f>
        <v>38980</v>
      </c>
      <c r="P119" t="s">
        <v>1029</v>
      </c>
      <c r="Q119" s="1"/>
    </row>
    <row r="120" spans="1:17" x14ac:dyDescent="0.25">
      <c r="A120">
        <v>25125</v>
      </c>
      <c r="B120" t="s">
        <v>276</v>
      </c>
      <c r="C120" t="s">
        <v>277</v>
      </c>
      <c r="D120" t="s">
        <v>1032</v>
      </c>
      <c r="E120" t="s">
        <v>1035</v>
      </c>
      <c r="F120" t="s">
        <v>1011</v>
      </c>
      <c r="G120" t="str">
        <f>UPPER(Table1[[#This Row],[State]])</f>
        <v>GUJARAT</v>
      </c>
      <c r="H120" t="s">
        <v>1016</v>
      </c>
      <c r="I120" t="s">
        <v>278</v>
      </c>
      <c r="J120" t="s">
        <v>1022</v>
      </c>
      <c r="K120">
        <v>5494</v>
      </c>
      <c r="L120" s="1">
        <v>43984</v>
      </c>
      <c r="M120" s="1">
        <v>43984</v>
      </c>
      <c r="N120">
        <v>5</v>
      </c>
      <c r="O120" s="4" cm="1">
        <f t="array" ref="O120">_xlfn.IFS(J120="Dell Inspiron 15",66989,J120="Lenovo IdeaPad Slim 3i",34690,J120="Mi NoteBook Ultra",57999,J120="Samsung Galaxy Go",36990,J120="Acer Aspire 3",38980)</f>
        <v>66989</v>
      </c>
      <c r="P120" t="s">
        <v>1029</v>
      </c>
      <c r="Q120" s="1"/>
    </row>
    <row r="121" spans="1:17" x14ac:dyDescent="0.25">
      <c r="A121">
        <v>16719</v>
      </c>
      <c r="B121" t="s">
        <v>245</v>
      </c>
      <c r="C121" t="s">
        <v>161</v>
      </c>
      <c r="D121" t="s">
        <v>1032</v>
      </c>
      <c r="E121" t="s">
        <v>1035</v>
      </c>
      <c r="F121" t="s">
        <v>1011</v>
      </c>
      <c r="G121" t="str">
        <f>UPPER(Table1[[#This Row],[State]])</f>
        <v>GUJARAT</v>
      </c>
      <c r="H121" t="s">
        <v>1016</v>
      </c>
      <c r="I121" t="s">
        <v>279</v>
      </c>
      <c r="J121" t="s">
        <v>1024</v>
      </c>
      <c r="K121">
        <v>4771</v>
      </c>
      <c r="L121" s="1">
        <v>43984</v>
      </c>
      <c r="M121" s="1">
        <v>43984</v>
      </c>
      <c r="N121">
        <v>4</v>
      </c>
      <c r="O121" s="4" cm="1">
        <f t="array" ref="O121">_xlfn.IFS(J121="Dell Inspiron 15",66989,J121="Lenovo IdeaPad Slim 3i",34690,J121="Mi NoteBook Ultra",57999,J121="Samsung Galaxy Go",36990,J121="Acer Aspire 3",38980)</f>
        <v>57999</v>
      </c>
      <c r="P121" t="s">
        <v>1029</v>
      </c>
      <c r="Q121" s="1"/>
    </row>
    <row r="122" spans="1:17" x14ac:dyDescent="0.25">
      <c r="A122">
        <v>16256</v>
      </c>
      <c r="B122" t="s">
        <v>68</v>
      </c>
      <c r="C122" t="s">
        <v>85</v>
      </c>
      <c r="D122" t="s">
        <v>1032</v>
      </c>
      <c r="E122" t="s">
        <v>1036</v>
      </c>
      <c r="F122" t="s">
        <v>1012</v>
      </c>
      <c r="G122" t="str">
        <f>UPPER(Table1[[#This Row],[State]])</f>
        <v>DELHI</v>
      </c>
      <c r="H122" t="s">
        <v>1017</v>
      </c>
      <c r="I122" t="s">
        <v>280</v>
      </c>
      <c r="J122" t="s">
        <v>1026</v>
      </c>
      <c r="K122">
        <v>5089</v>
      </c>
      <c r="L122" s="1">
        <v>43963</v>
      </c>
      <c r="M122" s="1">
        <v>43964</v>
      </c>
      <c r="N122">
        <v>1</v>
      </c>
      <c r="O122" s="4" cm="1">
        <f t="array" ref="O122">_xlfn.IFS(J122="Dell Inspiron 15",66989,J122="Lenovo IdeaPad Slim 3i",34690,J122="Mi NoteBook Ultra",57999,J122="Samsung Galaxy Go",36990,J122="Acer Aspire 3",38980)</f>
        <v>38980</v>
      </c>
      <c r="P122" t="s">
        <v>1029</v>
      </c>
      <c r="Q122" s="1"/>
    </row>
    <row r="123" spans="1:17" x14ac:dyDescent="0.25">
      <c r="A123">
        <v>21026</v>
      </c>
      <c r="B123" t="s">
        <v>204</v>
      </c>
      <c r="C123" t="s">
        <v>128</v>
      </c>
      <c r="D123" t="s">
        <v>1032</v>
      </c>
      <c r="E123" t="s">
        <v>1036</v>
      </c>
      <c r="F123" t="s">
        <v>1012</v>
      </c>
      <c r="G123" t="str">
        <f>UPPER(Table1[[#This Row],[State]])</f>
        <v>DELHI</v>
      </c>
      <c r="H123" t="s">
        <v>1017</v>
      </c>
      <c r="I123" t="s">
        <v>281</v>
      </c>
      <c r="J123" t="s">
        <v>1022</v>
      </c>
      <c r="K123">
        <v>5158</v>
      </c>
      <c r="L123" s="1">
        <v>43929</v>
      </c>
      <c r="M123" s="1">
        <v>43930</v>
      </c>
      <c r="N123">
        <v>1</v>
      </c>
      <c r="O123" s="4" cm="1">
        <f t="array" ref="O123">_xlfn.IFS(J123="Dell Inspiron 15",66989,J123="Lenovo IdeaPad Slim 3i",34690,J123="Mi NoteBook Ultra",57999,J123="Samsung Galaxy Go",36990,J123="Acer Aspire 3",38980)</f>
        <v>66989</v>
      </c>
      <c r="P123" t="s">
        <v>1029</v>
      </c>
    </row>
    <row r="124" spans="1:17" x14ac:dyDescent="0.25">
      <c r="A124">
        <v>16701</v>
      </c>
      <c r="B124" t="s">
        <v>282</v>
      </c>
      <c r="C124" t="s">
        <v>283</v>
      </c>
      <c r="D124" t="s">
        <v>1032</v>
      </c>
      <c r="E124" t="s">
        <v>1033</v>
      </c>
      <c r="F124" t="s">
        <v>1009</v>
      </c>
      <c r="G124" t="str">
        <f>UPPER(Table1[[#This Row],[State]])</f>
        <v>BIHAR</v>
      </c>
      <c r="H124" t="s">
        <v>1014</v>
      </c>
      <c r="I124" t="s">
        <v>284</v>
      </c>
      <c r="J124" t="s">
        <v>1023</v>
      </c>
      <c r="K124">
        <v>5162</v>
      </c>
      <c r="L124" s="1">
        <v>43979</v>
      </c>
      <c r="M124" s="1">
        <v>43979</v>
      </c>
      <c r="N124">
        <v>1</v>
      </c>
      <c r="O124" s="4" cm="1">
        <f t="array" ref="O124">_xlfn.IFS(J124="Dell Inspiron 15",66989,J124="Lenovo IdeaPad Slim 3i",34690,J124="Mi NoteBook Ultra",57999,J124="Samsung Galaxy Go",36990,J124="Acer Aspire 3",38980)</f>
        <v>34690</v>
      </c>
      <c r="P124" t="s">
        <v>1029</v>
      </c>
    </row>
    <row r="125" spans="1:17" x14ac:dyDescent="0.25">
      <c r="A125">
        <v>21583</v>
      </c>
      <c r="B125" t="s">
        <v>13</v>
      </c>
      <c r="C125" t="s">
        <v>74</v>
      </c>
      <c r="D125" t="s">
        <v>1032</v>
      </c>
      <c r="E125" t="s">
        <v>1034</v>
      </c>
      <c r="F125" t="s">
        <v>1010</v>
      </c>
      <c r="G125" t="str">
        <f>UPPER(Table1[[#This Row],[State]])</f>
        <v>PUDUCHERRY</v>
      </c>
      <c r="H125" t="s">
        <v>1015</v>
      </c>
      <c r="I125" t="s">
        <v>285</v>
      </c>
      <c r="J125" t="s">
        <v>1025</v>
      </c>
      <c r="K125">
        <v>5503</v>
      </c>
      <c r="L125" s="1">
        <v>43873</v>
      </c>
      <c r="M125" s="1">
        <v>43876</v>
      </c>
      <c r="N125">
        <v>3</v>
      </c>
      <c r="O125" s="4" cm="1">
        <f t="array" ref="O125">_xlfn.IFS(J125="Dell Inspiron 15",66989,J125="Lenovo IdeaPad Slim 3i",34690,J125="Mi NoteBook Ultra",57999,J125="Samsung Galaxy Go",36990,J125="Acer Aspire 3",38980)</f>
        <v>36990</v>
      </c>
      <c r="P125" t="s">
        <v>1029</v>
      </c>
    </row>
    <row r="126" spans="1:17" x14ac:dyDescent="0.25">
      <c r="A126">
        <v>17298</v>
      </c>
      <c r="B126" t="s">
        <v>155</v>
      </c>
      <c r="C126" t="s">
        <v>161</v>
      </c>
      <c r="D126" t="s">
        <v>1032</v>
      </c>
      <c r="E126" t="s">
        <v>1033</v>
      </c>
      <c r="F126" t="s">
        <v>1009</v>
      </c>
      <c r="G126" t="str">
        <f>UPPER(Table1[[#This Row],[State]])</f>
        <v>BIHAR</v>
      </c>
      <c r="H126" t="s">
        <v>1014</v>
      </c>
      <c r="I126" t="s">
        <v>286</v>
      </c>
      <c r="J126" t="s">
        <v>1022</v>
      </c>
      <c r="K126">
        <v>5225</v>
      </c>
      <c r="L126" s="1">
        <v>43873</v>
      </c>
      <c r="M126" s="1">
        <v>43875</v>
      </c>
      <c r="N126">
        <v>4</v>
      </c>
      <c r="O126" s="4" cm="1">
        <f t="array" ref="O126">_xlfn.IFS(J126="Dell Inspiron 15",66989,J126="Lenovo IdeaPad Slim 3i",34690,J126="Mi NoteBook Ultra",57999,J126="Samsung Galaxy Go",36990,J126="Acer Aspire 3",38980)</f>
        <v>66989</v>
      </c>
      <c r="P126" t="s">
        <v>1029</v>
      </c>
    </row>
    <row r="127" spans="1:17" x14ac:dyDescent="0.25">
      <c r="A127">
        <v>18655</v>
      </c>
      <c r="B127" t="s">
        <v>287</v>
      </c>
      <c r="C127" t="s">
        <v>163</v>
      </c>
      <c r="D127" t="s">
        <v>1032</v>
      </c>
      <c r="E127" t="s">
        <v>1035</v>
      </c>
      <c r="F127" t="s">
        <v>1011</v>
      </c>
      <c r="G127" t="str">
        <f>UPPER(Table1[[#This Row],[State]])</f>
        <v>GUJARAT</v>
      </c>
      <c r="H127" t="s">
        <v>1016</v>
      </c>
      <c r="I127" t="s">
        <v>288</v>
      </c>
      <c r="J127" t="s">
        <v>1026</v>
      </c>
      <c r="K127">
        <v>4831</v>
      </c>
      <c r="L127" s="1">
        <v>43966</v>
      </c>
      <c r="M127" s="1">
        <v>43967</v>
      </c>
      <c r="N127">
        <v>6</v>
      </c>
      <c r="O127" s="4" cm="1">
        <f t="array" ref="O127">_xlfn.IFS(J127="Dell Inspiron 15",66989,J127="Lenovo IdeaPad Slim 3i",34690,J127="Mi NoteBook Ultra",57999,J127="Samsung Galaxy Go",36990,J127="Acer Aspire 3",38980)</f>
        <v>38980</v>
      </c>
      <c r="P127" t="s">
        <v>1029</v>
      </c>
    </row>
    <row r="128" spans="1:17" x14ac:dyDescent="0.25">
      <c r="A128">
        <v>14705</v>
      </c>
      <c r="B128" t="s">
        <v>289</v>
      </c>
      <c r="C128" t="s">
        <v>290</v>
      </c>
      <c r="D128" t="s">
        <v>1032</v>
      </c>
      <c r="E128" t="s">
        <v>1035</v>
      </c>
      <c r="F128" t="s">
        <v>1011</v>
      </c>
      <c r="G128" t="str">
        <f>UPPER(Table1[[#This Row],[State]])</f>
        <v>GUJARAT</v>
      </c>
      <c r="H128" t="s">
        <v>1016</v>
      </c>
      <c r="I128" t="s">
        <v>291</v>
      </c>
      <c r="J128" t="s">
        <v>1024</v>
      </c>
      <c r="K128">
        <v>5082</v>
      </c>
      <c r="L128" s="1">
        <v>43972</v>
      </c>
      <c r="M128" s="1">
        <v>43974</v>
      </c>
      <c r="N128">
        <v>5</v>
      </c>
      <c r="O128" s="4" cm="1">
        <f t="array" ref="O128">_xlfn.IFS(J128="Dell Inspiron 15",66989,J128="Lenovo IdeaPad Slim 3i",34690,J128="Mi NoteBook Ultra",57999,J128="Samsung Galaxy Go",36990,J128="Acer Aspire 3",38980)</f>
        <v>57999</v>
      </c>
      <c r="P128" t="s">
        <v>1029</v>
      </c>
    </row>
    <row r="129" spans="1:16" x14ac:dyDescent="0.25">
      <c r="A129">
        <v>14044</v>
      </c>
      <c r="B129" t="s">
        <v>292</v>
      </c>
      <c r="C129" t="s">
        <v>293</v>
      </c>
      <c r="D129" t="s">
        <v>1032</v>
      </c>
      <c r="E129" t="s">
        <v>1036</v>
      </c>
      <c r="F129" t="s">
        <v>1012</v>
      </c>
      <c r="G129" t="str">
        <f>UPPER(Table1[[#This Row],[State]])</f>
        <v>DELHI</v>
      </c>
      <c r="H129" t="s">
        <v>1017</v>
      </c>
      <c r="I129" t="s">
        <v>294</v>
      </c>
      <c r="J129" t="s">
        <v>1025</v>
      </c>
      <c r="K129">
        <v>4873</v>
      </c>
      <c r="L129" s="1">
        <v>43966</v>
      </c>
      <c r="M129" s="1">
        <v>43967</v>
      </c>
      <c r="N129">
        <v>8</v>
      </c>
      <c r="O129" s="4" cm="1">
        <f t="array" ref="O129">_xlfn.IFS(J129="Dell Inspiron 15",66989,J129="Lenovo IdeaPad Slim 3i",34690,J129="Mi NoteBook Ultra",57999,J129="Samsung Galaxy Go",36990,J129="Acer Aspire 3",38980)</f>
        <v>36990</v>
      </c>
      <c r="P129" t="s">
        <v>1029</v>
      </c>
    </row>
    <row r="130" spans="1:16" x14ac:dyDescent="0.25">
      <c r="A130">
        <v>24696</v>
      </c>
      <c r="B130" t="s">
        <v>295</v>
      </c>
      <c r="C130" t="s">
        <v>296</v>
      </c>
      <c r="D130" t="s">
        <v>1032</v>
      </c>
      <c r="E130" t="s">
        <v>1033</v>
      </c>
      <c r="F130" t="s">
        <v>1009</v>
      </c>
      <c r="G130" t="str">
        <f>UPPER(Table1[[#This Row],[State]])</f>
        <v>BIHAR</v>
      </c>
      <c r="H130" t="s">
        <v>1014</v>
      </c>
      <c r="I130" t="s">
        <v>297</v>
      </c>
      <c r="J130" t="s">
        <v>1026</v>
      </c>
      <c r="K130">
        <v>5330</v>
      </c>
      <c r="L130" s="1">
        <v>43972</v>
      </c>
      <c r="M130" s="1">
        <v>43973</v>
      </c>
      <c r="N130">
        <v>2</v>
      </c>
      <c r="O130" s="4" cm="1">
        <f t="array" ref="O130">_xlfn.IFS(J130="Dell Inspiron 15",66989,J130="Lenovo IdeaPad Slim 3i",34690,J130="Mi NoteBook Ultra",57999,J130="Samsung Galaxy Go",36990,J130="Acer Aspire 3",38980)</f>
        <v>38980</v>
      </c>
      <c r="P130" t="s">
        <v>1029</v>
      </c>
    </row>
    <row r="131" spans="1:16" x14ac:dyDescent="0.25">
      <c r="A131">
        <v>24781</v>
      </c>
      <c r="B131" t="s">
        <v>177</v>
      </c>
      <c r="C131" t="s">
        <v>41</v>
      </c>
      <c r="D131" t="s">
        <v>1032</v>
      </c>
      <c r="E131" t="s">
        <v>1034</v>
      </c>
      <c r="F131" t="s">
        <v>1010</v>
      </c>
      <c r="G131" t="str">
        <f>UPPER(Table1[[#This Row],[State]])</f>
        <v>PUDUCHERRY</v>
      </c>
      <c r="H131" t="s">
        <v>1015</v>
      </c>
      <c r="I131" t="s">
        <v>298</v>
      </c>
      <c r="J131" t="s">
        <v>1022</v>
      </c>
      <c r="K131">
        <v>4870</v>
      </c>
      <c r="L131" s="1">
        <v>43972</v>
      </c>
      <c r="M131" s="1">
        <v>43974</v>
      </c>
      <c r="N131">
        <v>10</v>
      </c>
      <c r="O131" s="4" cm="1">
        <f t="array" ref="O131">_xlfn.IFS(J131="Dell Inspiron 15",66989,J131="Lenovo IdeaPad Slim 3i",34690,J131="Mi NoteBook Ultra",57999,J131="Samsung Galaxy Go",36990,J131="Acer Aspire 3",38980)</f>
        <v>66989</v>
      </c>
      <c r="P131" t="s">
        <v>1029</v>
      </c>
    </row>
    <row r="132" spans="1:16" x14ac:dyDescent="0.25">
      <c r="A132">
        <v>17375</v>
      </c>
      <c r="B132" t="s">
        <v>217</v>
      </c>
      <c r="C132" t="s">
        <v>296</v>
      </c>
      <c r="D132" t="s">
        <v>1032</v>
      </c>
      <c r="E132" t="s">
        <v>1033</v>
      </c>
      <c r="F132" t="s">
        <v>1009</v>
      </c>
      <c r="G132" t="str">
        <f>UPPER(Table1[[#This Row],[State]])</f>
        <v>BIHAR</v>
      </c>
      <c r="H132" t="s">
        <v>1014</v>
      </c>
      <c r="I132" t="s">
        <v>299</v>
      </c>
      <c r="J132" t="s">
        <v>1024</v>
      </c>
      <c r="K132">
        <v>5328</v>
      </c>
      <c r="L132" s="1">
        <v>43858</v>
      </c>
      <c r="M132" s="1">
        <v>43859</v>
      </c>
      <c r="N132">
        <v>3</v>
      </c>
      <c r="O132" s="4" cm="1">
        <f t="array" ref="O132">_xlfn.IFS(J132="Dell Inspiron 15",66989,J132="Lenovo IdeaPad Slim 3i",34690,J132="Mi NoteBook Ultra",57999,J132="Samsung Galaxy Go",36990,J132="Acer Aspire 3",38980)</f>
        <v>57999</v>
      </c>
      <c r="P132" t="s">
        <v>1029</v>
      </c>
    </row>
    <row r="133" spans="1:16" x14ac:dyDescent="0.25">
      <c r="A133">
        <v>12726</v>
      </c>
      <c r="B133" t="s">
        <v>260</v>
      </c>
      <c r="C133" t="s">
        <v>300</v>
      </c>
      <c r="D133" t="s">
        <v>1032</v>
      </c>
      <c r="E133" t="s">
        <v>1035</v>
      </c>
      <c r="F133" t="s">
        <v>1011</v>
      </c>
      <c r="G133" t="str">
        <f>UPPER(Table1[[#This Row],[State]])</f>
        <v>GUJARAT</v>
      </c>
      <c r="H133" t="s">
        <v>1016</v>
      </c>
      <c r="I133" t="s">
        <v>301</v>
      </c>
      <c r="J133" t="s">
        <v>1026</v>
      </c>
      <c r="K133">
        <v>4985</v>
      </c>
      <c r="L133" s="1">
        <v>43858</v>
      </c>
      <c r="M133" s="1">
        <v>43860</v>
      </c>
      <c r="N133">
        <v>1</v>
      </c>
      <c r="O133" s="4" cm="1">
        <f t="array" ref="O133">_xlfn.IFS(J133="Dell Inspiron 15",66989,J133="Lenovo IdeaPad Slim 3i",34690,J133="Mi NoteBook Ultra",57999,J133="Samsung Galaxy Go",36990,J133="Acer Aspire 3",38980)</f>
        <v>38980</v>
      </c>
      <c r="P133" t="s">
        <v>1029</v>
      </c>
    </row>
    <row r="134" spans="1:16" x14ac:dyDescent="0.25">
      <c r="A134">
        <v>16451</v>
      </c>
      <c r="B134" t="s">
        <v>229</v>
      </c>
      <c r="C134" t="s">
        <v>302</v>
      </c>
      <c r="D134" t="s">
        <v>1032</v>
      </c>
      <c r="E134" t="s">
        <v>1035</v>
      </c>
      <c r="F134" t="s">
        <v>1011</v>
      </c>
      <c r="G134" t="str">
        <f>UPPER(Table1[[#This Row],[State]])</f>
        <v>GUJARAT</v>
      </c>
      <c r="H134" t="s">
        <v>1016</v>
      </c>
      <c r="I134" t="s">
        <v>303</v>
      </c>
      <c r="J134" t="s">
        <v>1022</v>
      </c>
      <c r="K134">
        <v>5069</v>
      </c>
      <c r="L134" s="1">
        <v>43953</v>
      </c>
      <c r="M134" s="1">
        <v>43955</v>
      </c>
      <c r="N134">
        <v>2</v>
      </c>
      <c r="O134" s="4" cm="1">
        <f t="array" ref="O134">_xlfn.IFS(J134="Dell Inspiron 15",66989,J134="Lenovo IdeaPad Slim 3i",34690,J134="Mi NoteBook Ultra",57999,J134="Samsung Galaxy Go",36990,J134="Acer Aspire 3",38980)</f>
        <v>66989</v>
      </c>
      <c r="P134" t="s">
        <v>1029</v>
      </c>
    </row>
    <row r="135" spans="1:16" x14ac:dyDescent="0.25">
      <c r="A135">
        <v>13368</v>
      </c>
      <c r="B135" t="s">
        <v>304</v>
      </c>
      <c r="C135" t="s">
        <v>110</v>
      </c>
      <c r="D135" t="s">
        <v>1032</v>
      </c>
      <c r="E135" t="s">
        <v>1036</v>
      </c>
      <c r="F135" t="s">
        <v>1012</v>
      </c>
      <c r="G135" t="str">
        <f>UPPER(Table1[[#This Row],[State]])</f>
        <v>DELHI</v>
      </c>
      <c r="H135" t="s">
        <v>1017</v>
      </c>
      <c r="I135" t="s">
        <v>305</v>
      </c>
      <c r="J135" t="s">
        <v>1023</v>
      </c>
      <c r="K135">
        <v>5386</v>
      </c>
      <c r="L135" s="1">
        <v>43883</v>
      </c>
      <c r="M135" s="1">
        <v>43884</v>
      </c>
      <c r="N135">
        <v>2</v>
      </c>
      <c r="O135" s="4" cm="1">
        <f t="array" ref="O135">_xlfn.IFS(J135="Dell Inspiron 15",66989,J135="Lenovo IdeaPad Slim 3i",34690,J135="Mi NoteBook Ultra",57999,J135="Samsung Galaxy Go",36990,J135="Acer Aspire 3",38980)</f>
        <v>34690</v>
      </c>
      <c r="P135" t="s">
        <v>1029</v>
      </c>
    </row>
    <row r="136" spans="1:16" x14ac:dyDescent="0.25">
      <c r="A136">
        <v>16722</v>
      </c>
      <c r="B136" t="s">
        <v>34</v>
      </c>
      <c r="C136" t="s">
        <v>306</v>
      </c>
      <c r="D136" t="s">
        <v>1032</v>
      </c>
      <c r="E136" t="s">
        <v>1033</v>
      </c>
      <c r="F136" t="s">
        <v>1009</v>
      </c>
      <c r="G136" t="str">
        <f>UPPER(Table1[[#This Row],[State]])</f>
        <v>BIHAR</v>
      </c>
      <c r="H136" t="s">
        <v>1014</v>
      </c>
      <c r="I136" t="s">
        <v>307</v>
      </c>
      <c r="J136" t="s">
        <v>1024</v>
      </c>
      <c r="K136">
        <v>4568</v>
      </c>
      <c r="L136" s="1">
        <v>43917</v>
      </c>
      <c r="M136" s="1">
        <v>43918</v>
      </c>
      <c r="N136">
        <v>6</v>
      </c>
      <c r="O136" s="4" cm="1">
        <f t="array" ref="O136">_xlfn.IFS(J136="Dell Inspiron 15",66989,J136="Lenovo IdeaPad Slim 3i",34690,J136="Mi NoteBook Ultra",57999,J136="Samsung Galaxy Go",36990,J136="Acer Aspire 3",38980)</f>
        <v>57999</v>
      </c>
      <c r="P136" t="s">
        <v>1029</v>
      </c>
    </row>
    <row r="137" spans="1:16" x14ac:dyDescent="0.25">
      <c r="A137">
        <v>24446</v>
      </c>
      <c r="B137" t="s">
        <v>308</v>
      </c>
      <c r="C137" t="s">
        <v>309</v>
      </c>
      <c r="D137" t="s">
        <v>1032</v>
      </c>
      <c r="E137" t="s">
        <v>1036</v>
      </c>
      <c r="F137" t="s">
        <v>1012</v>
      </c>
      <c r="G137" t="str">
        <f>UPPER(Table1[[#This Row],[State]])</f>
        <v>DELHI</v>
      </c>
      <c r="H137" t="s">
        <v>1017</v>
      </c>
      <c r="I137" t="s">
        <v>310</v>
      </c>
      <c r="J137" t="s">
        <v>1025</v>
      </c>
      <c r="K137">
        <v>4711</v>
      </c>
      <c r="L137" s="1">
        <v>43850</v>
      </c>
      <c r="M137" s="1">
        <v>43852</v>
      </c>
      <c r="N137">
        <v>10</v>
      </c>
      <c r="O137" s="4" cm="1">
        <f t="array" ref="O137">_xlfn.IFS(J137="Dell Inspiron 15",66989,J137="Lenovo IdeaPad Slim 3i",34690,J137="Mi NoteBook Ultra",57999,J137="Samsung Galaxy Go",36990,J137="Acer Aspire 3",38980)</f>
        <v>36990</v>
      </c>
      <c r="P137" t="s">
        <v>1029</v>
      </c>
    </row>
    <row r="138" spans="1:16" x14ac:dyDescent="0.25">
      <c r="A138">
        <v>19623</v>
      </c>
      <c r="B138" t="s">
        <v>73</v>
      </c>
      <c r="C138" t="s">
        <v>311</v>
      </c>
      <c r="D138" t="s">
        <v>1032</v>
      </c>
      <c r="E138" t="s">
        <v>1033</v>
      </c>
      <c r="F138" t="s">
        <v>1009</v>
      </c>
      <c r="G138" t="str">
        <f>UPPER(Table1[[#This Row],[State]])</f>
        <v>BIHAR</v>
      </c>
      <c r="H138" t="s">
        <v>1014</v>
      </c>
      <c r="I138" t="s">
        <v>312</v>
      </c>
      <c r="J138" t="s">
        <v>1026</v>
      </c>
      <c r="K138">
        <v>4815</v>
      </c>
      <c r="L138" s="1">
        <v>43902</v>
      </c>
      <c r="M138" s="1">
        <v>43909</v>
      </c>
      <c r="N138">
        <v>4</v>
      </c>
      <c r="O138" s="4" cm="1">
        <f t="array" ref="O138">_xlfn.IFS(J138="Dell Inspiron 15",66989,J138="Lenovo IdeaPad Slim 3i",34690,J138="Mi NoteBook Ultra",57999,J138="Samsung Galaxy Go",36990,J138="Acer Aspire 3",38980)</f>
        <v>38980</v>
      </c>
      <c r="P138" t="s">
        <v>1029</v>
      </c>
    </row>
    <row r="139" spans="1:16" x14ac:dyDescent="0.25">
      <c r="A139">
        <v>18653</v>
      </c>
      <c r="B139" t="s">
        <v>313</v>
      </c>
      <c r="C139" t="s">
        <v>47</v>
      </c>
      <c r="D139" t="s">
        <v>1032</v>
      </c>
      <c r="E139" t="s">
        <v>1034</v>
      </c>
      <c r="F139" t="s">
        <v>1010</v>
      </c>
      <c r="G139" t="str">
        <f>UPPER(Table1[[#This Row],[State]])</f>
        <v>PUDUCHERRY</v>
      </c>
      <c r="H139" t="s">
        <v>1015</v>
      </c>
      <c r="I139" t="s">
        <v>314</v>
      </c>
      <c r="J139" t="s">
        <v>1022</v>
      </c>
      <c r="K139">
        <v>5311</v>
      </c>
      <c r="L139" s="1">
        <v>43997</v>
      </c>
      <c r="M139" s="1">
        <v>43999</v>
      </c>
      <c r="N139">
        <v>2</v>
      </c>
      <c r="O139" s="4" cm="1">
        <f t="array" ref="O139">_xlfn.IFS(J139="Dell Inspiron 15",66989,J139="Lenovo IdeaPad Slim 3i",34690,J139="Mi NoteBook Ultra",57999,J139="Samsung Galaxy Go",36990,J139="Acer Aspire 3",38980)</f>
        <v>66989</v>
      </c>
      <c r="P139" t="s">
        <v>1029</v>
      </c>
    </row>
    <row r="140" spans="1:16" x14ac:dyDescent="0.25">
      <c r="A140">
        <v>23317</v>
      </c>
      <c r="B140" t="s">
        <v>315</v>
      </c>
      <c r="C140" t="s">
        <v>316</v>
      </c>
      <c r="D140" t="s">
        <v>1032</v>
      </c>
      <c r="E140" t="s">
        <v>1033</v>
      </c>
      <c r="F140" t="s">
        <v>1009</v>
      </c>
      <c r="G140" t="str">
        <f>UPPER(Table1[[#This Row],[State]])</f>
        <v>BIHAR</v>
      </c>
      <c r="H140" t="s">
        <v>1014</v>
      </c>
      <c r="I140" t="s">
        <v>317</v>
      </c>
      <c r="J140" t="s">
        <v>1024</v>
      </c>
      <c r="K140">
        <v>4893</v>
      </c>
      <c r="L140" s="1">
        <v>43997</v>
      </c>
      <c r="M140" s="1">
        <v>43998</v>
      </c>
      <c r="N140">
        <v>5</v>
      </c>
      <c r="O140" s="4" cm="1">
        <f t="array" ref="O140">_xlfn.IFS(J140="Dell Inspiron 15",66989,J140="Lenovo IdeaPad Slim 3i",34690,J140="Mi NoteBook Ultra",57999,J140="Samsung Galaxy Go",36990,J140="Acer Aspire 3",38980)</f>
        <v>57999</v>
      </c>
      <c r="P140" t="s">
        <v>1029</v>
      </c>
    </row>
    <row r="141" spans="1:16" x14ac:dyDescent="0.25">
      <c r="A141">
        <v>18924</v>
      </c>
      <c r="B141" t="s">
        <v>318</v>
      </c>
      <c r="C141" t="s">
        <v>74</v>
      </c>
      <c r="D141" t="s">
        <v>1032</v>
      </c>
      <c r="E141" t="s">
        <v>1035</v>
      </c>
      <c r="F141" t="s">
        <v>1011</v>
      </c>
      <c r="G141" t="str">
        <f>UPPER(Table1[[#This Row],[State]])</f>
        <v>GUJARAT</v>
      </c>
      <c r="H141" t="s">
        <v>1016</v>
      </c>
      <c r="I141" t="s">
        <v>319</v>
      </c>
      <c r="J141" t="s">
        <v>1026</v>
      </c>
      <c r="K141">
        <v>4855</v>
      </c>
      <c r="L141" s="1">
        <v>43961</v>
      </c>
      <c r="M141" s="1">
        <v>43962</v>
      </c>
      <c r="N141">
        <v>8</v>
      </c>
      <c r="O141" s="4" cm="1">
        <f t="array" ref="O141">_xlfn.IFS(J141="Dell Inspiron 15",66989,J141="Lenovo IdeaPad Slim 3i",34690,J141="Mi NoteBook Ultra",57999,J141="Samsung Galaxy Go",36990,J141="Acer Aspire 3",38980)</f>
        <v>38980</v>
      </c>
      <c r="P141" t="s">
        <v>1029</v>
      </c>
    </row>
    <row r="142" spans="1:16" x14ac:dyDescent="0.25">
      <c r="A142">
        <v>17061</v>
      </c>
      <c r="B142" t="s">
        <v>320</v>
      </c>
      <c r="C142" t="s">
        <v>296</v>
      </c>
      <c r="D142" t="s">
        <v>1032</v>
      </c>
      <c r="E142" t="s">
        <v>1035</v>
      </c>
      <c r="F142" t="s">
        <v>1011</v>
      </c>
      <c r="G142" t="str">
        <f>UPPER(Table1[[#This Row],[State]])</f>
        <v>GUJARAT</v>
      </c>
      <c r="H142" t="s">
        <v>1016</v>
      </c>
      <c r="I142" t="s">
        <v>321</v>
      </c>
      <c r="J142" t="s">
        <v>1022</v>
      </c>
      <c r="K142">
        <v>5170</v>
      </c>
      <c r="L142" s="1">
        <v>43900</v>
      </c>
      <c r="M142" s="1">
        <v>43900</v>
      </c>
      <c r="N142">
        <v>1</v>
      </c>
      <c r="O142" s="4" cm="1">
        <f t="array" ref="O142">_xlfn.IFS(J142="Dell Inspiron 15",66989,J142="Lenovo IdeaPad Slim 3i",34690,J142="Mi NoteBook Ultra",57999,J142="Samsung Galaxy Go",36990,J142="Acer Aspire 3",38980)</f>
        <v>66989</v>
      </c>
      <c r="P142" t="s">
        <v>1029</v>
      </c>
    </row>
    <row r="143" spans="1:16" x14ac:dyDescent="0.25">
      <c r="A143">
        <v>19458</v>
      </c>
      <c r="B143" t="s">
        <v>19</v>
      </c>
      <c r="C143" t="s">
        <v>270</v>
      </c>
      <c r="D143" t="s">
        <v>1032</v>
      </c>
      <c r="E143" t="s">
        <v>1036</v>
      </c>
      <c r="F143" t="s">
        <v>1012</v>
      </c>
      <c r="G143" t="str">
        <f>UPPER(Table1[[#This Row],[State]])</f>
        <v>DELHI</v>
      </c>
      <c r="H143" t="s">
        <v>1017</v>
      </c>
      <c r="I143" t="s">
        <v>322</v>
      </c>
      <c r="J143" t="s">
        <v>1023</v>
      </c>
      <c r="K143">
        <v>4791</v>
      </c>
      <c r="L143" s="1">
        <v>43858</v>
      </c>
      <c r="M143" s="1">
        <v>43860</v>
      </c>
      <c r="N143">
        <v>7</v>
      </c>
      <c r="O143" s="4" cm="1">
        <f t="array" ref="O143">_xlfn.IFS(J143="Dell Inspiron 15",66989,J143="Lenovo IdeaPad Slim 3i",34690,J143="Mi NoteBook Ultra",57999,J143="Samsung Galaxy Go",36990,J143="Acer Aspire 3",38980)</f>
        <v>34690</v>
      </c>
      <c r="P143" t="s">
        <v>1029</v>
      </c>
    </row>
    <row r="144" spans="1:16" x14ac:dyDescent="0.25">
      <c r="A144">
        <v>21427</v>
      </c>
      <c r="B144" t="s">
        <v>323</v>
      </c>
      <c r="C144" t="s">
        <v>324</v>
      </c>
      <c r="D144" t="s">
        <v>1032</v>
      </c>
      <c r="E144" t="s">
        <v>1033</v>
      </c>
      <c r="F144" t="s">
        <v>1009</v>
      </c>
      <c r="G144" t="str">
        <f>UPPER(Table1[[#This Row],[State]])</f>
        <v>BIHAR</v>
      </c>
      <c r="H144" t="s">
        <v>1014</v>
      </c>
      <c r="I144" t="s">
        <v>325</v>
      </c>
      <c r="J144" t="s">
        <v>1025</v>
      </c>
      <c r="K144">
        <v>5442</v>
      </c>
      <c r="L144" s="1">
        <v>43900</v>
      </c>
      <c r="M144" s="1">
        <v>43901</v>
      </c>
      <c r="N144">
        <v>10</v>
      </c>
      <c r="O144" s="4" cm="1">
        <f t="array" ref="O144">_xlfn.IFS(J144="Dell Inspiron 15",66989,J144="Lenovo IdeaPad Slim 3i",34690,J144="Mi NoteBook Ultra",57999,J144="Samsung Galaxy Go",36990,J144="Acer Aspire 3",38980)</f>
        <v>36990</v>
      </c>
      <c r="P144" t="s">
        <v>1029</v>
      </c>
    </row>
    <row r="145" spans="1:16" x14ac:dyDescent="0.25">
      <c r="A145">
        <v>23937</v>
      </c>
      <c r="B145" t="s">
        <v>326</v>
      </c>
      <c r="C145" t="s">
        <v>217</v>
      </c>
      <c r="D145" t="s">
        <v>1032</v>
      </c>
      <c r="E145" t="s">
        <v>1034</v>
      </c>
      <c r="F145" t="s">
        <v>1010</v>
      </c>
      <c r="G145" t="str">
        <f>UPPER(Table1[[#This Row],[State]])</f>
        <v>PUDUCHERRY</v>
      </c>
      <c r="H145" t="s">
        <v>1015</v>
      </c>
      <c r="I145" t="s">
        <v>327</v>
      </c>
      <c r="J145" t="s">
        <v>1022</v>
      </c>
      <c r="K145">
        <v>4603</v>
      </c>
      <c r="L145" s="1">
        <v>43941</v>
      </c>
      <c r="M145" s="1">
        <v>43942</v>
      </c>
      <c r="N145">
        <v>8</v>
      </c>
      <c r="O145" s="4" cm="1">
        <f t="array" ref="O145">_xlfn.IFS(J145="Dell Inspiron 15",66989,J145="Lenovo IdeaPad Slim 3i",34690,J145="Mi NoteBook Ultra",57999,J145="Samsung Galaxy Go",36990,J145="Acer Aspire 3",38980)</f>
        <v>66989</v>
      </c>
      <c r="P145" t="s">
        <v>1029</v>
      </c>
    </row>
    <row r="146" spans="1:16" x14ac:dyDescent="0.25">
      <c r="A146">
        <v>25543</v>
      </c>
      <c r="B146" t="s">
        <v>304</v>
      </c>
      <c r="C146" t="s">
        <v>107</v>
      </c>
      <c r="D146" t="s">
        <v>1032</v>
      </c>
      <c r="E146" t="s">
        <v>1033</v>
      </c>
      <c r="F146" t="s">
        <v>1009</v>
      </c>
      <c r="G146" t="str">
        <f>UPPER(Table1[[#This Row],[State]])</f>
        <v>BIHAR</v>
      </c>
      <c r="H146" t="s">
        <v>1014</v>
      </c>
      <c r="I146" t="s">
        <v>328</v>
      </c>
      <c r="J146" t="s">
        <v>1026</v>
      </c>
      <c r="K146">
        <v>5002</v>
      </c>
      <c r="L146" s="1">
        <v>43941</v>
      </c>
      <c r="M146" s="1">
        <v>43942</v>
      </c>
      <c r="N146">
        <v>9</v>
      </c>
      <c r="O146" s="4" cm="1">
        <f t="array" ref="O146">_xlfn.IFS(J146="Dell Inspiron 15",66989,J146="Lenovo IdeaPad Slim 3i",34690,J146="Mi NoteBook Ultra",57999,J146="Samsung Galaxy Go",36990,J146="Acer Aspire 3",38980)</f>
        <v>38980</v>
      </c>
      <c r="P146" t="s">
        <v>1029</v>
      </c>
    </row>
    <row r="147" spans="1:16" x14ac:dyDescent="0.25">
      <c r="A147">
        <v>23164</v>
      </c>
      <c r="B147" t="s">
        <v>82</v>
      </c>
      <c r="C147" t="s">
        <v>77</v>
      </c>
      <c r="D147" t="s">
        <v>1032</v>
      </c>
      <c r="E147" t="s">
        <v>1035</v>
      </c>
      <c r="F147" t="s">
        <v>1011</v>
      </c>
      <c r="G147" t="str">
        <f>UPPER(Table1[[#This Row],[State]])</f>
        <v>GUJARAT</v>
      </c>
      <c r="H147" t="s">
        <v>1016</v>
      </c>
      <c r="I147" t="s">
        <v>329</v>
      </c>
      <c r="J147" t="s">
        <v>1024</v>
      </c>
      <c r="K147">
        <v>5291</v>
      </c>
      <c r="L147" s="1">
        <v>43960</v>
      </c>
      <c r="M147" s="1">
        <v>43962</v>
      </c>
      <c r="N147">
        <v>1</v>
      </c>
      <c r="O147" s="4" cm="1">
        <f t="array" ref="O147">_xlfn.IFS(J147="Dell Inspiron 15",66989,J147="Lenovo IdeaPad Slim 3i",34690,J147="Mi NoteBook Ultra",57999,J147="Samsung Galaxy Go",36990,J147="Acer Aspire 3",38980)</f>
        <v>57999</v>
      </c>
      <c r="P147" t="s">
        <v>1029</v>
      </c>
    </row>
    <row r="148" spans="1:16" x14ac:dyDescent="0.25">
      <c r="A148">
        <v>14019</v>
      </c>
      <c r="B148" t="s">
        <v>242</v>
      </c>
      <c r="C148" t="s">
        <v>290</v>
      </c>
      <c r="D148" t="s">
        <v>1032</v>
      </c>
      <c r="E148" t="s">
        <v>1035</v>
      </c>
      <c r="F148" t="s">
        <v>1011</v>
      </c>
      <c r="G148" t="str">
        <f>UPPER(Table1[[#This Row],[State]])</f>
        <v>GUJARAT</v>
      </c>
      <c r="H148" t="s">
        <v>1016</v>
      </c>
      <c r="I148" t="s">
        <v>330</v>
      </c>
      <c r="J148" t="s">
        <v>1025</v>
      </c>
      <c r="K148">
        <v>4966</v>
      </c>
      <c r="L148" s="1">
        <v>43994</v>
      </c>
      <c r="M148" s="1">
        <v>43996</v>
      </c>
      <c r="N148">
        <v>2</v>
      </c>
      <c r="O148" s="4" cm="1">
        <f t="array" ref="O148">_xlfn.IFS(J148="Dell Inspiron 15",66989,J148="Lenovo IdeaPad Slim 3i",34690,J148="Mi NoteBook Ultra",57999,J148="Samsung Galaxy Go",36990,J148="Acer Aspire 3",38980)</f>
        <v>36990</v>
      </c>
      <c r="P148" t="s">
        <v>1029</v>
      </c>
    </row>
    <row r="149" spans="1:16" x14ac:dyDescent="0.25">
      <c r="A149">
        <v>16273</v>
      </c>
      <c r="B149" t="s">
        <v>257</v>
      </c>
      <c r="C149" t="s">
        <v>167</v>
      </c>
      <c r="D149" t="s">
        <v>1032</v>
      </c>
      <c r="E149" t="s">
        <v>1036</v>
      </c>
      <c r="F149" t="s">
        <v>1012</v>
      </c>
      <c r="G149" t="str">
        <f>UPPER(Table1[[#This Row],[State]])</f>
        <v>DELHI</v>
      </c>
      <c r="H149" t="s">
        <v>1017</v>
      </c>
      <c r="I149" t="s">
        <v>331</v>
      </c>
      <c r="J149" t="s">
        <v>1026</v>
      </c>
      <c r="K149">
        <v>4759</v>
      </c>
      <c r="L149" s="1">
        <v>43892</v>
      </c>
      <c r="M149" s="1">
        <v>43894</v>
      </c>
      <c r="N149">
        <v>5</v>
      </c>
      <c r="O149" s="4" cm="1">
        <f t="array" ref="O149">_xlfn.IFS(J149="Dell Inspiron 15",66989,J149="Lenovo IdeaPad Slim 3i",34690,J149="Mi NoteBook Ultra",57999,J149="Samsung Galaxy Go",36990,J149="Acer Aspire 3",38980)</f>
        <v>38980</v>
      </c>
      <c r="P149" t="s">
        <v>1029</v>
      </c>
    </row>
    <row r="150" spans="1:16" x14ac:dyDescent="0.25">
      <c r="A150">
        <v>22228</v>
      </c>
      <c r="B150" t="s">
        <v>289</v>
      </c>
      <c r="C150" t="s">
        <v>47</v>
      </c>
      <c r="D150" t="s">
        <v>1032</v>
      </c>
      <c r="E150" t="s">
        <v>1033</v>
      </c>
      <c r="F150" t="s">
        <v>1009</v>
      </c>
      <c r="G150" t="str">
        <f>UPPER(Table1[[#This Row],[State]])</f>
        <v>BIHAR</v>
      </c>
      <c r="H150" t="s">
        <v>1014</v>
      </c>
      <c r="I150" t="s">
        <v>332</v>
      </c>
      <c r="J150" t="s">
        <v>1022</v>
      </c>
      <c r="K150">
        <v>4651</v>
      </c>
      <c r="L150" s="1">
        <v>43892</v>
      </c>
      <c r="M150" s="1">
        <v>43892</v>
      </c>
      <c r="N150">
        <v>8</v>
      </c>
      <c r="O150" s="4" cm="1">
        <f t="array" ref="O150">_xlfn.IFS(J150="Dell Inspiron 15",66989,J150="Lenovo IdeaPad Slim 3i",34690,J150="Mi NoteBook Ultra",57999,J150="Samsung Galaxy Go",36990,J150="Acer Aspire 3",38980)</f>
        <v>66989</v>
      </c>
      <c r="P150" t="s">
        <v>1029</v>
      </c>
    </row>
    <row r="151" spans="1:16" x14ac:dyDescent="0.25">
      <c r="A151">
        <v>16722</v>
      </c>
      <c r="B151" t="s">
        <v>333</v>
      </c>
      <c r="C151" t="s">
        <v>161</v>
      </c>
      <c r="D151" t="s">
        <v>1032</v>
      </c>
      <c r="E151" t="s">
        <v>1034</v>
      </c>
      <c r="F151" t="s">
        <v>1010</v>
      </c>
      <c r="G151" t="str">
        <f>UPPER(Table1[[#This Row],[State]])</f>
        <v>PUDUCHERRY</v>
      </c>
      <c r="H151" t="s">
        <v>1015</v>
      </c>
      <c r="I151" t="s">
        <v>334</v>
      </c>
      <c r="J151" t="s">
        <v>1024</v>
      </c>
      <c r="K151">
        <v>4869</v>
      </c>
      <c r="L151" s="1">
        <v>43832</v>
      </c>
      <c r="M151" s="1">
        <v>43839</v>
      </c>
      <c r="N151">
        <v>4</v>
      </c>
      <c r="O151" s="4" cm="1">
        <f t="array" ref="O151">_xlfn.IFS(J151="Dell Inspiron 15",66989,J151="Lenovo IdeaPad Slim 3i",34690,J151="Mi NoteBook Ultra",57999,J151="Samsung Galaxy Go",36990,J151="Acer Aspire 3",38980)</f>
        <v>57999</v>
      </c>
      <c r="P151" t="s">
        <v>1029</v>
      </c>
    </row>
    <row r="152" spans="1:16" x14ac:dyDescent="0.25">
      <c r="A152">
        <v>19054</v>
      </c>
      <c r="B152" t="s">
        <v>335</v>
      </c>
      <c r="C152" t="s">
        <v>29</v>
      </c>
      <c r="D152" t="s">
        <v>1032</v>
      </c>
      <c r="E152" t="s">
        <v>1033</v>
      </c>
      <c r="F152" t="s">
        <v>1009</v>
      </c>
      <c r="G152" t="str">
        <f>UPPER(Table1[[#This Row],[State]])</f>
        <v>BIHAR</v>
      </c>
      <c r="H152" t="s">
        <v>1014</v>
      </c>
      <c r="I152" t="s">
        <v>336</v>
      </c>
      <c r="J152" t="s">
        <v>1026</v>
      </c>
      <c r="K152">
        <v>4545</v>
      </c>
      <c r="L152" s="1">
        <v>43832</v>
      </c>
      <c r="M152" s="1">
        <v>43832</v>
      </c>
      <c r="N152">
        <v>8</v>
      </c>
      <c r="O152" s="4" cm="1">
        <f t="array" ref="O152">_xlfn.IFS(J152="Dell Inspiron 15",66989,J152="Lenovo IdeaPad Slim 3i",34690,J152="Mi NoteBook Ultra",57999,J152="Samsung Galaxy Go",36990,J152="Acer Aspire 3",38980)</f>
        <v>38980</v>
      </c>
      <c r="P152" t="s">
        <v>1029</v>
      </c>
    </row>
    <row r="153" spans="1:16" x14ac:dyDescent="0.25">
      <c r="A153">
        <v>14795</v>
      </c>
      <c r="B153" t="s">
        <v>337</v>
      </c>
      <c r="C153" t="s">
        <v>217</v>
      </c>
      <c r="D153" t="s">
        <v>1032</v>
      </c>
      <c r="E153" t="s">
        <v>1035</v>
      </c>
      <c r="F153" t="s">
        <v>1011</v>
      </c>
      <c r="G153" t="str">
        <f>UPPER(Table1[[#This Row],[State]])</f>
        <v>GUJARAT</v>
      </c>
      <c r="H153" t="s">
        <v>1016</v>
      </c>
      <c r="I153" t="s">
        <v>338</v>
      </c>
      <c r="J153" t="s">
        <v>1022</v>
      </c>
      <c r="K153">
        <v>4648</v>
      </c>
      <c r="L153" s="1">
        <v>43832</v>
      </c>
      <c r="M153" s="1">
        <v>43834</v>
      </c>
      <c r="N153">
        <v>7</v>
      </c>
      <c r="O153" s="4" cm="1">
        <f t="array" ref="O153">_xlfn.IFS(J153="Dell Inspiron 15",66989,J153="Lenovo IdeaPad Slim 3i",34690,J153="Mi NoteBook Ultra",57999,J153="Samsung Galaxy Go",36990,J153="Acer Aspire 3",38980)</f>
        <v>66989</v>
      </c>
      <c r="P153" t="s">
        <v>1029</v>
      </c>
    </row>
    <row r="154" spans="1:16" x14ac:dyDescent="0.25">
      <c r="A154">
        <v>25005</v>
      </c>
      <c r="B154" t="s">
        <v>339</v>
      </c>
      <c r="C154" t="s">
        <v>17</v>
      </c>
      <c r="D154" t="s">
        <v>1032</v>
      </c>
      <c r="E154" t="s">
        <v>1035</v>
      </c>
      <c r="F154" t="s">
        <v>1011</v>
      </c>
      <c r="G154" t="str">
        <f>UPPER(Table1[[#This Row],[State]])</f>
        <v>GUJARAT</v>
      </c>
      <c r="H154" t="s">
        <v>1016</v>
      </c>
      <c r="I154" t="s">
        <v>340</v>
      </c>
      <c r="J154" t="s">
        <v>1023</v>
      </c>
      <c r="K154">
        <v>5288</v>
      </c>
      <c r="L154" s="1">
        <v>43832</v>
      </c>
      <c r="M154" s="1">
        <v>43839</v>
      </c>
      <c r="N154">
        <v>9</v>
      </c>
      <c r="O154" s="4" cm="1">
        <f t="array" ref="O154">_xlfn.IFS(J154="Dell Inspiron 15",66989,J154="Lenovo IdeaPad Slim 3i",34690,J154="Mi NoteBook Ultra",57999,J154="Samsung Galaxy Go",36990,J154="Acer Aspire 3",38980)</f>
        <v>34690</v>
      </c>
      <c r="P154" t="s">
        <v>1029</v>
      </c>
    </row>
    <row r="155" spans="1:16" x14ac:dyDescent="0.25">
      <c r="A155">
        <v>13069</v>
      </c>
      <c r="B155" t="s">
        <v>16</v>
      </c>
      <c r="C155" t="s">
        <v>306</v>
      </c>
      <c r="D155" t="s">
        <v>1032</v>
      </c>
      <c r="E155" t="s">
        <v>1035</v>
      </c>
      <c r="F155" t="s">
        <v>1011</v>
      </c>
      <c r="G155" t="str">
        <f>UPPER(Table1[[#This Row],[State]])</f>
        <v>GUJARAT</v>
      </c>
      <c r="H155" t="s">
        <v>1016</v>
      </c>
      <c r="I155" t="s">
        <v>341</v>
      </c>
      <c r="J155" t="s">
        <v>1022</v>
      </c>
      <c r="K155">
        <v>5377</v>
      </c>
      <c r="L155" s="1">
        <v>43863</v>
      </c>
      <c r="M155" s="1">
        <v>43865</v>
      </c>
      <c r="N155">
        <v>5</v>
      </c>
      <c r="O155" s="4" cm="1">
        <f t="array" ref="O155">_xlfn.IFS(J155="Dell Inspiron 15",66989,J155="Lenovo IdeaPad Slim 3i",34690,J155="Mi NoteBook Ultra",57999,J155="Samsung Galaxy Go",36990,J155="Acer Aspire 3",38980)</f>
        <v>66989</v>
      </c>
      <c r="P155" t="s">
        <v>1029</v>
      </c>
    </row>
    <row r="156" spans="1:16" x14ac:dyDescent="0.25">
      <c r="A156">
        <v>15238</v>
      </c>
      <c r="B156" t="s">
        <v>287</v>
      </c>
      <c r="C156" t="s">
        <v>342</v>
      </c>
      <c r="D156" t="s">
        <v>1032</v>
      </c>
      <c r="E156" t="s">
        <v>1036</v>
      </c>
      <c r="F156" t="s">
        <v>1012</v>
      </c>
      <c r="G156" t="str">
        <f>UPPER(Table1[[#This Row],[State]])</f>
        <v>DELHI</v>
      </c>
      <c r="H156" t="s">
        <v>1017</v>
      </c>
      <c r="I156" t="s">
        <v>343</v>
      </c>
      <c r="J156" t="s">
        <v>1023</v>
      </c>
      <c r="K156">
        <v>4918</v>
      </c>
      <c r="L156" s="1">
        <v>43863</v>
      </c>
      <c r="M156" s="1">
        <v>43865</v>
      </c>
      <c r="N156">
        <v>7</v>
      </c>
      <c r="O156" s="4" cm="1">
        <f t="array" ref="O156">_xlfn.IFS(J156="Dell Inspiron 15",66989,J156="Lenovo IdeaPad Slim 3i",34690,J156="Mi NoteBook Ultra",57999,J156="Samsung Galaxy Go",36990,J156="Acer Aspire 3",38980)</f>
        <v>34690</v>
      </c>
      <c r="P156" t="s">
        <v>1029</v>
      </c>
    </row>
    <row r="157" spans="1:16" x14ac:dyDescent="0.25">
      <c r="A157">
        <v>19890</v>
      </c>
      <c r="B157" t="s">
        <v>344</v>
      </c>
      <c r="C157" t="s">
        <v>230</v>
      </c>
      <c r="D157" t="s">
        <v>1032</v>
      </c>
      <c r="E157" t="s">
        <v>1033</v>
      </c>
      <c r="F157" t="s">
        <v>1009</v>
      </c>
      <c r="G157" t="str">
        <f>UPPER(Table1[[#This Row],[State]])</f>
        <v>BIHAR</v>
      </c>
      <c r="H157" t="s">
        <v>1014</v>
      </c>
      <c r="I157" t="s">
        <v>345</v>
      </c>
      <c r="J157" t="s">
        <v>1024</v>
      </c>
      <c r="K157">
        <v>5493</v>
      </c>
      <c r="L157" s="1">
        <v>43905</v>
      </c>
      <c r="M157" s="1">
        <v>43905</v>
      </c>
      <c r="N157">
        <v>9</v>
      </c>
      <c r="O157" s="4" cm="1">
        <f t="array" ref="O157">_xlfn.IFS(J157="Dell Inspiron 15",66989,J157="Lenovo IdeaPad Slim 3i",34690,J157="Mi NoteBook Ultra",57999,J157="Samsung Galaxy Go",36990,J157="Acer Aspire 3",38980)</f>
        <v>57999</v>
      </c>
      <c r="P157" t="s">
        <v>1029</v>
      </c>
    </row>
    <row r="158" spans="1:16" x14ac:dyDescent="0.25">
      <c r="A158">
        <v>17803</v>
      </c>
      <c r="B158" t="s">
        <v>346</v>
      </c>
      <c r="C158" t="s">
        <v>347</v>
      </c>
      <c r="D158" t="s">
        <v>1032</v>
      </c>
      <c r="E158" t="s">
        <v>1034</v>
      </c>
      <c r="F158" t="s">
        <v>1010</v>
      </c>
      <c r="G158" t="str">
        <f>UPPER(Table1[[#This Row],[State]])</f>
        <v>PUDUCHERRY</v>
      </c>
      <c r="H158" t="s">
        <v>1015</v>
      </c>
      <c r="I158" t="s">
        <v>348</v>
      </c>
      <c r="J158" t="s">
        <v>1025</v>
      </c>
      <c r="K158">
        <v>4704</v>
      </c>
      <c r="L158" s="1">
        <v>43863</v>
      </c>
      <c r="M158" s="1">
        <v>43864</v>
      </c>
      <c r="N158">
        <v>4</v>
      </c>
      <c r="O158" s="4" cm="1">
        <f t="array" ref="O158">_xlfn.IFS(J158="Dell Inspiron 15",66989,J158="Lenovo IdeaPad Slim 3i",34690,J158="Mi NoteBook Ultra",57999,J158="Samsung Galaxy Go",36990,J158="Acer Aspire 3",38980)</f>
        <v>36990</v>
      </c>
      <c r="P158" t="s">
        <v>1029</v>
      </c>
    </row>
    <row r="159" spans="1:16" x14ac:dyDescent="0.25">
      <c r="A159">
        <v>20565</v>
      </c>
      <c r="B159" t="s">
        <v>260</v>
      </c>
      <c r="C159" t="s">
        <v>349</v>
      </c>
      <c r="D159" t="s">
        <v>1032</v>
      </c>
      <c r="E159" t="s">
        <v>1033</v>
      </c>
      <c r="F159" t="s">
        <v>1009</v>
      </c>
      <c r="G159" t="str">
        <f>UPPER(Table1[[#This Row],[State]])</f>
        <v>BIHAR</v>
      </c>
      <c r="H159" t="s">
        <v>1014</v>
      </c>
      <c r="I159" t="s">
        <v>350</v>
      </c>
      <c r="J159" t="s">
        <v>1026</v>
      </c>
      <c r="K159">
        <v>5192</v>
      </c>
      <c r="L159" s="1">
        <v>43920</v>
      </c>
      <c r="M159" s="1">
        <v>43923</v>
      </c>
      <c r="N159">
        <v>1</v>
      </c>
      <c r="O159" s="4" cm="1">
        <f t="array" ref="O159">_xlfn.IFS(J159="Dell Inspiron 15",66989,J159="Lenovo IdeaPad Slim 3i",34690,J159="Mi NoteBook Ultra",57999,J159="Samsung Galaxy Go",36990,J159="Acer Aspire 3",38980)</f>
        <v>38980</v>
      </c>
      <c r="P159" t="s">
        <v>1029</v>
      </c>
    </row>
    <row r="160" spans="1:16" x14ac:dyDescent="0.25">
      <c r="A160">
        <v>14224</v>
      </c>
      <c r="B160" t="s">
        <v>213</v>
      </c>
      <c r="C160" t="s">
        <v>110</v>
      </c>
      <c r="D160" t="s">
        <v>1032</v>
      </c>
      <c r="E160" t="s">
        <v>1035</v>
      </c>
      <c r="F160" t="s">
        <v>1011</v>
      </c>
      <c r="G160" t="str">
        <f>UPPER(Table1[[#This Row],[State]])</f>
        <v>GUJARAT</v>
      </c>
      <c r="H160" t="s">
        <v>1016</v>
      </c>
      <c r="I160" t="s">
        <v>351</v>
      </c>
      <c r="J160" t="s">
        <v>1022</v>
      </c>
      <c r="K160">
        <v>5033</v>
      </c>
      <c r="L160" s="1">
        <v>43985</v>
      </c>
      <c r="M160" s="1">
        <v>43990</v>
      </c>
      <c r="N160">
        <v>3</v>
      </c>
      <c r="O160" s="4" cm="1">
        <f t="array" ref="O160">_xlfn.IFS(J160="Dell Inspiron 15",66989,J160="Lenovo IdeaPad Slim 3i",34690,J160="Mi NoteBook Ultra",57999,J160="Samsung Galaxy Go",36990,J160="Acer Aspire 3",38980)</f>
        <v>66989</v>
      </c>
      <c r="P160" t="s">
        <v>1029</v>
      </c>
    </row>
    <row r="161" spans="1:16" x14ac:dyDescent="0.25">
      <c r="A161">
        <v>14188</v>
      </c>
      <c r="B161" t="s">
        <v>56</v>
      </c>
      <c r="C161" t="s">
        <v>85</v>
      </c>
      <c r="D161" t="s">
        <v>1032</v>
      </c>
      <c r="E161" t="s">
        <v>1035</v>
      </c>
      <c r="F161" t="s">
        <v>1011</v>
      </c>
      <c r="G161" t="str">
        <f>UPPER(Table1[[#This Row],[State]])</f>
        <v>GUJARAT</v>
      </c>
      <c r="H161" t="s">
        <v>1016</v>
      </c>
      <c r="I161" t="s">
        <v>352</v>
      </c>
      <c r="J161" t="s">
        <v>1024</v>
      </c>
      <c r="K161">
        <v>4755</v>
      </c>
      <c r="L161" s="1">
        <v>43912</v>
      </c>
      <c r="M161" s="1">
        <v>43913</v>
      </c>
      <c r="N161">
        <v>4</v>
      </c>
      <c r="O161" s="4" cm="1">
        <f t="array" ref="O161">_xlfn.IFS(J161="Dell Inspiron 15",66989,J161="Lenovo IdeaPad Slim 3i",34690,J161="Mi NoteBook Ultra",57999,J161="Samsung Galaxy Go",36990,J161="Acer Aspire 3",38980)</f>
        <v>57999</v>
      </c>
      <c r="P161" t="s">
        <v>1029</v>
      </c>
    </row>
    <row r="162" spans="1:16" x14ac:dyDescent="0.25">
      <c r="A162">
        <v>22782</v>
      </c>
      <c r="B162" t="s">
        <v>353</v>
      </c>
      <c r="C162" t="s">
        <v>354</v>
      </c>
      <c r="D162" t="s">
        <v>1032</v>
      </c>
      <c r="E162" t="s">
        <v>1036</v>
      </c>
      <c r="F162" t="s">
        <v>1012</v>
      </c>
      <c r="G162" t="str">
        <f>UPPER(Table1[[#This Row],[State]])</f>
        <v>DELHI</v>
      </c>
      <c r="H162" t="s">
        <v>1017</v>
      </c>
      <c r="I162" t="s">
        <v>355</v>
      </c>
      <c r="J162" t="s">
        <v>1026</v>
      </c>
      <c r="K162">
        <v>5417</v>
      </c>
      <c r="L162" s="1">
        <v>43912</v>
      </c>
      <c r="M162" s="1">
        <v>43915</v>
      </c>
      <c r="N162">
        <v>10</v>
      </c>
      <c r="O162" s="4" cm="1">
        <f t="array" ref="O162">_xlfn.IFS(J162="Dell Inspiron 15",66989,J162="Lenovo IdeaPad Slim 3i",34690,J162="Mi NoteBook Ultra",57999,J162="Samsung Galaxy Go",36990,J162="Acer Aspire 3",38980)</f>
        <v>38980</v>
      </c>
      <c r="P162" t="s">
        <v>1029</v>
      </c>
    </row>
    <row r="163" spans="1:16" x14ac:dyDescent="0.25">
      <c r="A163">
        <v>25583</v>
      </c>
      <c r="B163" t="s">
        <v>202</v>
      </c>
      <c r="C163" t="s">
        <v>118</v>
      </c>
      <c r="D163" t="s">
        <v>1032</v>
      </c>
      <c r="E163" t="s">
        <v>1036</v>
      </c>
      <c r="F163" t="s">
        <v>1012</v>
      </c>
      <c r="G163" t="str">
        <f>UPPER(Table1[[#This Row],[State]])</f>
        <v>DELHI</v>
      </c>
      <c r="H163" t="s">
        <v>1017</v>
      </c>
      <c r="I163" t="s">
        <v>356</v>
      </c>
      <c r="J163" t="s">
        <v>1022</v>
      </c>
      <c r="K163">
        <v>5501</v>
      </c>
      <c r="L163" s="1">
        <v>43968</v>
      </c>
      <c r="M163" s="1">
        <v>43969</v>
      </c>
      <c r="N163">
        <v>9</v>
      </c>
      <c r="O163" s="4" cm="1">
        <f t="array" ref="O163">_xlfn.IFS(J163="Dell Inspiron 15",66989,J163="Lenovo IdeaPad Slim 3i",34690,J163="Mi NoteBook Ultra",57999,J163="Samsung Galaxy Go",36990,J163="Acer Aspire 3",38980)</f>
        <v>66989</v>
      </c>
      <c r="P163" t="s">
        <v>1029</v>
      </c>
    </row>
    <row r="164" spans="1:16" x14ac:dyDescent="0.25">
      <c r="A164">
        <v>22830</v>
      </c>
      <c r="B164" t="s">
        <v>185</v>
      </c>
      <c r="C164" t="s">
        <v>74</v>
      </c>
      <c r="D164" t="s">
        <v>1032</v>
      </c>
      <c r="E164" t="s">
        <v>1033</v>
      </c>
      <c r="F164" t="s">
        <v>1009</v>
      </c>
      <c r="G164" t="str">
        <f>UPPER(Table1[[#This Row],[State]])</f>
        <v>BIHAR</v>
      </c>
      <c r="H164" t="s">
        <v>1014</v>
      </c>
      <c r="I164" t="s">
        <v>357</v>
      </c>
      <c r="J164" t="s">
        <v>1023</v>
      </c>
      <c r="K164">
        <v>4747</v>
      </c>
      <c r="L164" s="1">
        <v>43879</v>
      </c>
      <c r="M164" s="1">
        <v>43881</v>
      </c>
      <c r="N164">
        <v>9</v>
      </c>
      <c r="O164" s="4" cm="1">
        <f t="array" ref="O164">_xlfn.IFS(J164="Dell Inspiron 15",66989,J164="Lenovo IdeaPad Slim 3i",34690,J164="Mi NoteBook Ultra",57999,J164="Samsung Galaxy Go",36990,J164="Acer Aspire 3",38980)</f>
        <v>34690</v>
      </c>
      <c r="P164" t="s">
        <v>1029</v>
      </c>
    </row>
    <row r="165" spans="1:16" x14ac:dyDescent="0.25">
      <c r="A165">
        <v>17890</v>
      </c>
      <c r="B165" t="s">
        <v>358</v>
      </c>
      <c r="C165" t="s">
        <v>359</v>
      </c>
      <c r="D165" t="s">
        <v>1032</v>
      </c>
      <c r="E165" t="s">
        <v>1034</v>
      </c>
      <c r="F165" t="s">
        <v>1010</v>
      </c>
      <c r="G165" t="str">
        <f>UPPER(Table1[[#This Row],[State]])</f>
        <v>PUDUCHERRY</v>
      </c>
      <c r="H165" t="s">
        <v>1015</v>
      </c>
      <c r="I165" t="s">
        <v>360</v>
      </c>
      <c r="J165" t="s">
        <v>1025</v>
      </c>
      <c r="K165">
        <v>4671</v>
      </c>
      <c r="L165" s="1">
        <v>43894</v>
      </c>
      <c r="M165" s="1">
        <v>43896</v>
      </c>
      <c r="N165">
        <v>7</v>
      </c>
      <c r="O165" s="4" cm="1">
        <f t="array" ref="O165">_xlfn.IFS(J165="Dell Inspiron 15",66989,J165="Lenovo IdeaPad Slim 3i",34690,J165="Mi NoteBook Ultra",57999,J165="Samsung Galaxy Go",36990,J165="Acer Aspire 3",38980)</f>
        <v>36990</v>
      </c>
      <c r="P165" t="s">
        <v>1029</v>
      </c>
    </row>
    <row r="166" spans="1:16" x14ac:dyDescent="0.25">
      <c r="A166">
        <v>17229</v>
      </c>
      <c r="B166" t="s">
        <v>361</v>
      </c>
      <c r="C166" t="s">
        <v>268</v>
      </c>
      <c r="D166" t="s">
        <v>1032</v>
      </c>
      <c r="E166" t="s">
        <v>1033</v>
      </c>
      <c r="F166" t="s">
        <v>1009</v>
      </c>
      <c r="G166" t="str">
        <f>UPPER(Table1[[#This Row],[State]])</f>
        <v>BIHAR</v>
      </c>
      <c r="H166" t="s">
        <v>1014</v>
      </c>
      <c r="I166" t="s">
        <v>362</v>
      </c>
      <c r="J166" t="s">
        <v>1022</v>
      </c>
      <c r="K166">
        <v>5194</v>
      </c>
      <c r="L166" s="1">
        <v>43968</v>
      </c>
      <c r="M166" s="1">
        <v>43970</v>
      </c>
      <c r="N166">
        <v>2</v>
      </c>
      <c r="O166" s="4" cm="1">
        <f t="array" ref="O166">_xlfn.IFS(J166="Dell Inspiron 15",66989,J166="Lenovo IdeaPad Slim 3i",34690,J166="Mi NoteBook Ultra",57999,J166="Samsung Galaxy Go",36990,J166="Acer Aspire 3",38980)</f>
        <v>66989</v>
      </c>
      <c r="P166" t="s">
        <v>1029</v>
      </c>
    </row>
    <row r="167" spans="1:16" x14ac:dyDescent="0.25">
      <c r="A167">
        <v>13710</v>
      </c>
      <c r="B167" t="s">
        <v>59</v>
      </c>
      <c r="C167" t="s">
        <v>170</v>
      </c>
      <c r="D167" t="s">
        <v>1032</v>
      </c>
      <c r="E167" t="s">
        <v>1035</v>
      </c>
      <c r="F167" t="s">
        <v>1011</v>
      </c>
      <c r="G167" t="str">
        <f>UPPER(Table1[[#This Row],[State]])</f>
        <v>GUJARAT</v>
      </c>
      <c r="H167" t="s">
        <v>1016</v>
      </c>
      <c r="I167" t="s">
        <v>363</v>
      </c>
      <c r="J167" t="s">
        <v>1026</v>
      </c>
      <c r="K167">
        <v>5162</v>
      </c>
      <c r="L167" s="1">
        <v>43968</v>
      </c>
      <c r="M167" s="1">
        <v>43969</v>
      </c>
      <c r="N167">
        <v>5</v>
      </c>
      <c r="O167" s="4" cm="1">
        <f t="array" ref="O167">_xlfn.IFS(J167="Dell Inspiron 15",66989,J167="Lenovo IdeaPad Slim 3i",34690,J167="Mi NoteBook Ultra",57999,J167="Samsung Galaxy Go",36990,J167="Acer Aspire 3",38980)</f>
        <v>38980</v>
      </c>
      <c r="P167" t="s">
        <v>1029</v>
      </c>
    </row>
    <row r="168" spans="1:16" x14ac:dyDescent="0.25">
      <c r="A168">
        <v>17186</v>
      </c>
      <c r="B168" t="s">
        <v>364</v>
      </c>
      <c r="C168" t="s">
        <v>365</v>
      </c>
      <c r="D168" t="s">
        <v>1032</v>
      </c>
      <c r="E168" t="s">
        <v>1035</v>
      </c>
      <c r="F168" t="s">
        <v>1011</v>
      </c>
      <c r="G168" t="str">
        <f>UPPER(Table1[[#This Row],[State]])</f>
        <v>GUJARAT</v>
      </c>
      <c r="H168" t="s">
        <v>1016</v>
      </c>
      <c r="I168" t="s">
        <v>366</v>
      </c>
      <c r="J168" t="s">
        <v>1024</v>
      </c>
      <c r="K168">
        <v>5507</v>
      </c>
      <c r="L168" s="1">
        <v>43989</v>
      </c>
      <c r="M168" s="1">
        <v>43991</v>
      </c>
      <c r="N168">
        <v>9</v>
      </c>
      <c r="O168" s="4" cm="1">
        <f t="array" ref="O168">_xlfn.IFS(J168="Dell Inspiron 15",66989,J168="Lenovo IdeaPad Slim 3i",34690,J168="Mi NoteBook Ultra",57999,J168="Samsung Galaxy Go",36990,J168="Acer Aspire 3",38980)</f>
        <v>57999</v>
      </c>
      <c r="P168" t="s">
        <v>1029</v>
      </c>
    </row>
    <row r="169" spans="1:16" x14ac:dyDescent="0.25">
      <c r="A169">
        <v>19451</v>
      </c>
      <c r="B169" t="s">
        <v>56</v>
      </c>
      <c r="C169" t="s">
        <v>17</v>
      </c>
      <c r="D169" t="s">
        <v>1032</v>
      </c>
      <c r="E169" t="s">
        <v>1036</v>
      </c>
      <c r="F169" t="s">
        <v>1012</v>
      </c>
      <c r="G169" t="str">
        <f>UPPER(Table1[[#This Row],[State]])</f>
        <v>DELHI</v>
      </c>
      <c r="H169" t="s">
        <v>1017</v>
      </c>
      <c r="I169" t="s">
        <v>367</v>
      </c>
      <c r="J169" t="s">
        <v>1025</v>
      </c>
      <c r="K169">
        <v>4870</v>
      </c>
      <c r="L169" s="1">
        <v>43954</v>
      </c>
      <c r="M169" s="1">
        <v>43956</v>
      </c>
      <c r="N169">
        <v>6</v>
      </c>
      <c r="O169" s="4" cm="1">
        <f t="array" ref="O169">_xlfn.IFS(J169="Dell Inspiron 15",66989,J169="Lenovo IdeaPad Slim 3i",34690,J169="Mi NoteBook Ultra",57999,J169="Samsung Galaxy Go",36990,J169="Acer Aspire 3",38980)</f>
        <v>36990</v>
      </c>
      <c r="P169" t="s">
        <v>1029</v>
      </c>
    </row>
    <row r="170" spans="1:16" x14ac:dyDescent="0.25">
      <c r="A170">
        <v>12912</v>
      </c>
      <c r="B170" t="s">
        <v>287</v>
      </c>
      <c r="C170" t="s">
        <v>368</v>
      </c>
      <c r="D170" t="s">
        <v>1032</v>
      </c>
      <c r="E170" t="s">
        <v>1033</v>
      </c>
      <c r="F170" t="s">
        <v>1009</v>
      </c>
      <c r="G170" t="str">
        <f>UPPER(Table1[[#This Row],[State]])</f>
        <v>BIHAR</v>
      </c>
      <c r="H170" t="s">
        <v>1014</v>
      </c>
      <c r="I170" t="s">
        <v>369</v>
      </c>
      <c r="J170" t="s">
        <v>1026</v>
      </c>
      <c r="K170">
        <v>5037</v>
      </c>
      <c r="L170" s="1">
        <v>43954</v>
      </c>
      <c r="M170" s="1">
        <v>43956</v>
      </c>
      <c r="N170">
        <v>2</v>
      </c>
      <c r="O170" s="4" cm="1">
        <f t="array" ref="O170">_xlfn.IFS(J170="Dell Inspiron 15",66989,J170="Lenovo IdeaPad Slim 3i",34690,J170="Mi NoteBook Ultra",57999,J170="Samsung Galaxy Go",36990,J170="Acer Aspire 3",38980)</f>
        <v>38980</v>
      </c>
      <c r="P170" t="s">
        <v>1029</v>
      </c>
    </row>
    <row r="171" spans="1:16" x14ac:dyDescent="0.25">
      <c r="A171">
        <v>13907</v>
      </c>
      <c r="B171" t="s">
        <v>370</v>
      </c>
      <c r="C171" t="s">
        <v>23</v>
      </c>
      <c r="D171" t="s">
        <v>1032</v>
      </c>
      <c r="E171" t="s">
        <v>1034</v>
      </c>
      <c r="F171" t="s">
        <v>1010</v>
      </c>
      <c r="G171" t="str">
        <f>UPPER(Table1[[#This Row],[State]])</f>
        <v>PUDUCHERRY</v>
      </c>
      <c r="H171" t="s">
        <v>1015</v>
      </c>
      <c r="I171" t="s">
        <v>371</v>
      </c>
      <c r="J171" t="s">
        <v>1022</v>
      </c>
      <c r="K171">
        <v>4852</v>
      </c>
      <c r="L171" s="1">
        <v>43954</v>
      </c>
      <c r="M171" s="1">
        <v>43956</v>
      </c>
      <c r="N171">
        <v>7</v>
      </c>
      <c r="O171" s="4" cm="1">
        <f t="array" ref="O171">_xlfn.IFS(J171="Dell Inspiron 15",66989,J171="Lenovo IdeaPad Slim 3i",34690,J171="Mi NoteBook Ultra",57999,J171="Samsung Galaxy Go",36990,J171="Acer Aspire 3",38980)</f>
        <v>66989</v>
      </c>
      <c r="P171" t="s">
        <v>1029</v>
      </c>
    </row>
    <row r="172" spans="1:16" x14ac:dyDescent="0.25">
      <c r="A172">
        <v>14805</v>
      </c>
      <c r="B172" t="s">
        <v>372</v>
      </c>
      <c r="C172" t="s">
        <v>105</v>
      </c>
      <c r="D172" t="s">
        <v>1032</v>
      </c>
      <c r="E172" t="s">
        <v>1033</v>
      </c>
      <c r="F172" t="s">
        <v>1009</v>
      </c>
      <c r="G172" t="str">
        <f>UPPER(Table1[[#This Row],[State]])</f>
        <v>BIHAR</v>
      </c>
      <c r="H172" t="s">
        <v>1014</v>
      </c>
      <c r="I172" t="s">
        <v>373</v>
      </c>
      <c r="J172" t="s">
        <v>1024</v>
      </c>
      <c r="K172">
        <v>4596</v>
      </c>
      <c r="L172" s="1">
        <v>43954</v>
      </c>
      <c r="M172" s="1">
        <v>43955</v>
      </c>
      <c r="N172">
        <v>5</v>
      </c>
      <c r="O172" s="4" cm="1">
        <f t="array" ref="O172">_xlfn.IFS(J172="Dell Inspiron 15",66989,J172="Lenovo IdeaPad Slim 3i",34690,J172="Mi NoteBook Ultra",57999,J172="Samsung Galaxy Go",36990,J172="Acer Aspire 3",38980)</f>
        <v>57999</v>
      </c>
      <c r="P172" t="s">
        <v>1029</v>
      </c>
    </row>
    <row r="173" spans="1:16" x14ac:dyDescent="0.25">
      <c r="A173">
        <v>19945</v>
      </c>
      <c r="B173" t="s">
        <v>25</v>
      </c>
      <c r="C173" t="s">
        <v>374</v>
      </c>
      <c r="D173" t="s">
        <v>1032</v>
      </c>
      <c r="E173" t="s">
        <v>1035</v>
      </c>
      <c r="F173" t="s">
        <v>1011</v>
      </c>
      <c r="G173" t="str">
        <f>UPPER(Table1[[#This Row],[State]])</f>
        <v>GUJARAT</v>
      </c>
      <c r="H173" t="s">
        <v>1016</v>
      </c>
      <c r="I173" t="s">
        <v>375</v>
      </c>
      <c r="J173" t="s">
        <v>1026</v>
      </c>
      <c r="K173">
        <v>5394</v>
      </c>
      <c r="L173" s="1">
        <v>44004</v>
      </c>
      <c r="M173" s="1">
        <v>44006</v>
      </c>
      <c r="N173">
        <v>9</v>
      </c>
      <c r="O173" s="4" cm="1">
        <f t="array" ref="O173">_xlfn.IFS(J173="Dell Inspiron 15",66989,J173="Lenovo IdeaPad Slim 3i",34690,J173="Mi NoteBook Ultra",57999,J173="Samsung Galaxy Go",36990,J173="Acer Aspire 3",38980)</f>
        <v>38980</v>
      </c>
      <c r="P173" t="s">
        <v>1029</v>
      </c>
    </row>
    <row r="174" spans="1:16" x14ac:dyDescent="0.25">
      <c r="A174">
        <v>18538</v>
      </c>
      <c r="B174" t="s">
        <v>376</v>
      </c>
      <c r="C174" t="s">
        <v>98</v>
      </c>
      <c r="D174" t="s">
        <v>1032</v>
      </c>
      <c r="E174" t="s">
        <v>1035</v>
      </c>
      <c r="F174" t="s">
        <v>1011</v>
      </c>
      <c r="G174" t="str">
        <f>UPPER(Table1[[#This Row],[State]])</f>
        <v>GUJARAT</v>
      </c>
      <c r="H174" t="s">
        <v>1016</v>
      </c>
      <c r="I174" t="s">
        <v>377</v>
      </c>
      <c r="J174" t="s">
        <v>1022</v>
      </c>
      <c r="K174">
        <v>4862</v>
      </c>
      <c r="L174" s="1">
        <v>43927</v>
      </c>
      <c r="M174" s="1">
        <v>43928</v>
      </c>
      <c r="N174">
        <v>3</v>
      </c>
      <c r="O174" s="4" cm="1">
        <f t="array" ref="O174">_xlfn.IFS(J174="Dell Inspiron 15",66989,J174="Lenovo IdeaPad Slim 3i",34690,J174="Mi NoteBook Ultra",57999,J174="Samsung Galaxy Go",36990,J174="Acer Aspire 3",38980)</f>
        <v>66989</v>
      </c>
      <c r="P174" t="s">
        <v>1029</v>
      </c>
    </row>
    <row r="175" spans="1:16" x14ac:dyDescent="0.25">
      <c r="A175">
        <v>17349</v>
      </c>
      <c r="B175" t="s">
        <v>216</v>
      </c>
      <c r="C175" t="s">
        <v>378</v>
      </c>
      <c r="D175" t="s">
        <v>1032</v>
      </c>
      <c r="E175" t="s">
        <v>1036</v>
      </c>
      <c r="F175" t="s">
        <v>1012</v>
      </c>
      <c r="G175" t="str">
        <f>UPPER(Table1[[#This Row],[State]])</f>
        <v>DELHI</v>
      </c>
      <c r="H175" t="s">
        <v>1017</v>
      </c>
      <c r="I175" t="s">
        <v>379</v>
      </c>
      <c r="J175" t="s">
        <v>1023</v>
      </c>
      <c r="K175">
        <v>5480</v>
      </c>
      <c r="L175" s="1">
        <v>44004</v>
      </c>
      <c r="M175" s="1">
        <v>44006</v>
      </c>
      <c r="N175">
        <v>4</v>
      </c>
      <c r="O175" s="4" cm="1">
        <f t="array" ref="O175">_xlfn.IFS(J175="Dell Inspiron 15",66989,J175="Lenovo IdeaPad Slim 3i",34690,J175="Mi NoteBook Ultra",57999,J175="Samsung Galaxy Go",36990,J175="Acer Aspire 3",38980)</f>
        <v>34690</v>
      </c>
      <c r="P175" t="s">
        <v>1029</v>
      </c>
    </row>
    <row r="176" spans="1:16" x14ac:dyDescent="0.25">
      <c r="A176">
        <v>21072</v>
      </c>
      <c r="B176" t="s">
        <v>138</v>
      </c>
      <c r="C176" t="s">
        <v>77</v>
      </c>
      <c r="D176" t="s">
        <v>1032</v>
      </c>
      <c r="E176" t="s">
        <v>1033</v>
      </c>
      <c r="F176" t="s">
        <v>1009</v>
      </c>
      <c r="G176" t="str">
        <f>UPPER(Table1[[#This Row],[State]])</f>
        <v>BIHAR</v>
      </c>
      <c r="H176" t="s">
        <v>1014</v>
      </c>
      <c r="I176" t="s">
        <v>380</v>
      </c>
      <c r="J176" t="s">
        <v>1024</v>
      </c>
      <c r="K176">
        <v>4984</v>
      </c>
      <c r="L176" s="1">
        <v>44004</v>
      </c>
      <c r="M176" s="1">
        <v>44005</v>
      </c>
      <c r="N176">
        <v>6</v>
      </c>
      <c r="O176" s="4" cm="1">
        <f t="array" ref="O176">_xlfn.IFS(J176="Dell Inspiron 15",66989,J176="Lenovo IdeaPad Slim 3i",34690,J176="Mi NoteBook Ultra",57999,J176="Samsung Galaxy Go",36990,J176="Acer Aspire 3",38980)</f>
        <v>57999</v>
      </c>
      <c r="P176" t="s">
        <v>1029</v>
      </c>
    </row>
    <row r="177" spans="1:16" x14ac:dyDescent="0.25">
      <c r="A177">
        <v>21096</v>
      </c>
      <c r="B177" t="s">
        <v>333</v>
      </c>
      <c r="C177" t="s">
        <v>266</v>
      </c>
      <c r="D177" t="s">
        <v>1032</v>
      </c>
      <c r="E177" t="s">
        <v>1036</v>
      </c>
      <c r="F177" t="s">
        <v>1012</v>
      </c>
      <c r="G177" t="str">
        <f>UPPER(Table1[[#This Row],[State]])</f>
        <v>DELHI</v>
      </c>
      <c r="H177" t="s">
        <v>1017</v>
      </c>
      <c r="I177" t="s">
        <v>381</v>
      </c>
      <c r="J177" t="s">
        <v>1025</v>
      </c>
      <c r="K177">
        <v>4793</v>
      </c>
      <c r="L177" s="1">
        <v>43927</v>
      </c>
      <c r="M177" s="1">
        <v>43928</v>
      </c>
      <c r="N177">
        <v>6</v>
      </c>
      <c r="O177" s="4" cm="1">
        <f t="array" ref="O177">_xlfn.IFS(J177="Dell Inspiron 15",66989,J177="Lenovo IdeaPad Slim 3i",34690,J177="Mi NoteBook Ultra",57999,J177="Samsung Galaxy Go",36990,J177="Acer Aspire 3",38980)</f>
        <v>36990</v>
      </c>
      <c r="P177" t="s">
        <v>1029</v>
      </c>
    </row>
    <row r="178" spans="1:16" x14ac:dyDescent="0.25">
      <c r="A178">
        <v>13221</v>
      </c>
      <c r="B178" t="s">
        <v>382</v>
      </c>
      <c r="C178" t="s">
        <v>220</v>
      </c>
      <c r="D178" t="s">
        <v>1032</v>
      </c>
      <c r="E178" t="s">
        <v>1033</v>
      </c>
      <c r="F178" t="s">
        <v>1009</v>
      </c>
      <c r="G178" t="str">
        <f>UPPER(Table1[[#This Row],[State]])</f>
        <v>BIHAR</v>
      </c>
      <c r="H178" t="s">
        <v>1014</v>
      </c>
      <c r="I178" t="s">
        <v>383</v>
      </c>
      <c r="J178" t="s">
        <v>1026</v>
      </c>
      <c r="K178">
        <v>4840</v>
      </c>
      <c r="L178" s="1">
        <v>44004</v>
      </c>
      <c r="M178" s="1">
        <v>44005</v>
      </c>
      <c r="N178">
        <v>2</v>
      </c>
      <c r="O178" s="4" cm="1">
        <f t="array" ref="O178">_xlfn.IFS(J178="Dell Inspiron 15",66989,J178="Lenovo IdeaPad Slim 3i",34690,J178="Mi NoteBook Ultra",57999,J178="Samsung Galaxy Go",36990,J178="Acer Aspire 3",38980)</f>
        <v>38980</v>
      </c>
      <c r="P178" t="s">
        <v>1029</v>
      </c>
    </row>
    <row r="179" spans="1:16" x14ac:dyDescent="0.25">
      <c r="A179">
        <v>13024</v>
      </c>
      <c r="B179" t="s">
        <v>61</v>
      </c>
      <c r="C179" t="s">
        <v>384</v>
      </c>
      <c r="D179" t="s">
        <v>1032</v>
      </c>
      <c r="E179" t="s">
        <v>1034</v>
      </c>
      <c r="F179" t="s">
        <v>1010</v>
      </c>
      <c r="G179" t="str">
        <f>UPPER(Table1[[#This Row],[State]])</f>
        <v>PUDUCHERRY</v>
      </c>
      <c r="H179" t="s">
        <v>1015</v>
      </c>
      <c r="I179" t="s">
        <v>385</v>
      </c>
      <c r="J179" t="s">
        <v>1022</v>
      </c>
      <c r="K179">
        <v>4777</v>
      </c>
      <c r="L179" s="1">
        <v>43833</v>
      </c>
      <c r="M179" s="1">
        <v>43834</v>
      </c>
      <c r="N179">
        <v>2</v>
      </c>
      <c r="O179" s="4" cm="1">
        <f t="array" ref="O179">_xlfn.IFS(J179="Dell Inspiron 15",66989,J179="Lenovo IdeaPad Slim 3i",34690,J179="Mi NoteBook Ultra",57999,J179="Samsung Galaxy Go",36990,J179="Acer Aspire 3",38980)</f>
        <v>66989</v>
      </c>
      <c r="P179" t="s">
        <v>1029</v>
      </c>
    </row>
    <row r="180" spans="1:16" x14ac:dyDescent="0.25">
      <c r="A180">
        <v>18313</v>
      </c>
      <c r="B180" t="s">
        <v>386</v>
      </c>
      <c r="C180" t="s">
        <v>38</v>
      </c>
      <c r="D180" t="s">
        <v>1032</v>
      </c>
      <c r="E180" t="s">
        <v>1033</v>
      </c>
      <c r="F180" t="s">
        <v>1009</v>
      </c>
      <c r="G180" t="str">
        <f>UPPER(Table1[[#This Row],[State]])</f>
        <v>BIHAR</v>
      </c>
      <c r="H180" t="s">
        <v>1014</v>
      </c>
      <c r="I180" t="s">
        <v>387</v>
      </c>
      <c r="J180" t="s">
        <v>1024</v>
      </c>
      <c r="K180">
        <v>5118</v>
      </c>
      <c r="L180" s="1">
        <v>43925</v>
      </c>
      <c r="M180" s="1">
        <v>43927</v>
      </c>
      <c r="N180">
        <v>6</v>
      </c>
      <c r="O180" s="4" cm="1">
        <f t="array" ref="O180">_xlfn.IFS(J180="Dell Inspiron 15",66989,J180="Lenovo IdeaPad Slim 3i",34690,J180="Mi NoteBook Ultra",57999,J180="Samsung Galaxy Go",36990,J180="Acer Aspire 3",38980)</f>
        <v>57999</v>
      </c>
      <c r="P180" t="s">
        <v>1029</v>
      </c>
    </row>
    <row r="181" spans="1:16" x14ac:dyDescent="0.25">
      <c r="A181">
        <v>18155</v>
      </c>
      <c r="B181" t="s">
        <v>54</v>
      </c>
      <c r="C181" t="s">
        <v>38</v>
      </c>
      <c r="D181" t="s">
        <v>1032</v>
      </c>
      <c r="E181" t="s">
        <v>1035</v>
      </c>
      <c r="F181" t="s">
        <v>1011</v>
      </c>
      <c r="G181" t="str">
        <f>UPPER(Table1[[#This Row],[State]])</f>
        <v>GUJARAT</v>
      </c>
      <c r="H181" t="s">
        <v>1016</v>
      </c>
      <c r="I181" t="s">
        <v>388</v>
      </c>
      <c r="J181" t="s">
        <v>1025</v>
      </c>
      <c r="K181">
        <v>5469</v>
      </c>
      <c r="L181" s="1">
        <v>43925</v>
      </c>
      <c r="M181" s="1">
        <v>43927</v>
      </c>
      <c r="N181">
        <v>3</v>
      </c>
      <c r="O181" s="4" cm="1">
        <f t="array" ref="O181">_xlfn.IFS(J181="Dell Inspiron 15",66989,J181="Lenovo IdeaPad Slim 3i",34690,J181="Mi NoteBook Ultra",57999,J181="Samsung Galaxy Go",36990,J181="Acer Aspire 3",38980)</f>
        <v>36990</v>
      </c>
      <c r="P181" t="s">
        <v>1029</v>
      </c>
    </row>
    <row r="182" spans="1:16" x14ac:dyDescent="0.25">
      <c r="A182">
        <v>15218</v>
      </c>
      <c r="B182" t="s">
        <v>389</v>
      </c>
      <c r="C182" t="s">
        <v>161</v>
      </c>
      <c r="D182" t="s">
        <v>1032</v>
      </c>
      <c r="E182" t="s">
        <v>1033</v>
      </c>
      <c r="F182" t="s">
        <v>1009</v>
      </c>
      <c r="G182" t="str">
        <f>UPPER(Table1[[#This Row],[State]])</f>
        <v>BIHAR</v>
      </c>
      <c r="H182" t="s">
        <v>1014</v>
      </c>
      <c r="I182" t="s">
        <v>390</v>
      </c>
      <c r="J182" t="s">
        <v>1026</v>
      </c>
      <c r="K182">
        <v>5228</v>
      </c>
      <c r="L182" s="1">
        <v>43930</v>
      </c>
      <c r="M182" s="1">
        <v>43932</v>
      </c>
      <c r="N182">
        <v>10</v>
      </c>
      <c r="O182" s="4" cm="1">
        <f t="array" ref="O182">_xlfn.IFS(J182="Dell Inspiron 15",66989,J182="Lenovo IdeaPad Slim 3i",34690,J182="Mi NoteBook Ultra",57999,J182="Samsung Galaxy Go",36990,J182="Acer Aspire 3",38980)</f>
        <v>38980</v>
      </c>
      <c r="P182" t="s">
        <v>1029</v>
      </c>
    </row>
    <row r="183" spans="1:16" x14ac:dyDescent="0.25">
      <c r="A183">
        <v>25643</v>
      </c>
      <c r="B183" t="s">
        <v>391</v>
      </c>
      <c r="C183" t="s">
        <v>161</v>
      </c>
      <c r="D183" t="s">
        <v>1032</v>
      </c>
      <c r="E183" t="s">
        <v>1034</v>
      </c>
      <c r="F183" t="s">
        <v>1010</v>
      </c>
      <c r="G183" t="str">
        <f>UPPER(Table1[[#This Row],[State]])</f>
        <v>PUDUCHERRY</v>
      </c>
      <c r="H183" t="s">
        <v>1015</v>
      </c>
      <c r="I183" t="s">
        <v>392</v>
      </c>
      <c r="J183" t="s">
        <v>1022</v>
      </c>
      <c r="K183">
        <v>5251</v>
      </c>
      <c r="L183" s="1">
        <v>43833</v>
      </c>
      <c r="M183" s="1">
        <v>43834</v>
      </c>
      <c r="N183">
        <v>5</v>
      </c>
      <c r="O183" s="4" cm="1">
        <f t="array" ref="O183">_xlfn.IFS(J183="Dell Inspiron 15",66989,J183="Lenovo IdeaPad Slim 3i",34690,J183="Mi NoteBook Ultra",57999,J183="Samsung Galaxy Go",36990,J183="Acer Aspire 3",38980)</f>
        <v>66989</v>
      </c>
      <c r="P183" t="s">
        <v>1029</v>
      </c>
    </row>
    <row r="184" spans="1:16" x14ac:dyDescent="0.25">
      <c r="A184">
        <v>19349</v>
      </c>
      <c r="B184" t="s">
        <v>40</v>
      </c>
      <c r="C184" t="s">
        <v>393</v>
      </c>
      <c r="D184" t="s">
        <v>1032</v>
      </c>
      <c r="E184" t="s">
        <v>1033</v>
      </c>
      <c r="F184" t="s">
        <v>1009</v>
      </c>
      <c r="G184" t="str">
        <f>UPPER(Table1[[#This Row],[State]])</f>
        <v>BIHAR</v>
      </c>
      <c r="H184" t="s">
        <v>1014</v>
      </c>
      <c r="I184" t="s">
        <v>394</v>
      </c>
      <c r="J184" t="s">
        <v>1024</v>
      </c>
      <c r="K184">
        <v>5023</v>
      </c>
      <c r="L184" s="1">
        <v>43925</v>
      </c>
      <c r="M184" s="1">
        <v>43927</v>
      </c>
      <c r="N184">
        <v>1</v>
      </c>
      <c r="O184" s="4" cm="1">
        <f t="array" ref="O184">_xlfn.IFS(J184="Dell Inspiron 15",66989,J184="Lenovo IdeaPad Slim 3i",34690,J184="Mi NoteBook Ultra",57999,J184="Samsung Galaxy Go",36990,J184="Acer Aspire 3",38980)</f>
        <v>57999</v>
      </c>
      <c r="P184" t="s">
        <v>1029</v>
      </c>
    </row>
    <row r="185" spans="1:16" x14ac:dyDescent="0.25">
      <c r="A185">
        <v>22349</v>
      </c>
      <c r="B185" t="s">
        <v>313</v>
      </c>
      <c r="C185" t="s">
        <v>395</v>
      </c>
      <c r="D185" t="s">
        <v>1032</v>
      </c>
      <c r="E185" t="s">
        <v>1035</v>
      </c>
      <c r="F185" t="s">
        <v>1011</v>
      </c>
      <c r="G185" t="str">
        <f>UPPER(Table1[[#This Row],[State]])</f>
        <v>GUJARAT</v>
      </c>
      <c r="H185" t="s">
        <v>1016</v>
      </c>
      <c r="I185" t="s">
        <v>396</v>
      </c>
      <c r="J185" t="s">
        <v>1026</v>
      </c>
      <c r="K185">
        <v>4779</v>
      </c>
      <c r="L185" s="1">
        <v>43963</v>
      </c>
      <c r="M185" s="1">
        <v>43965</v>
      </c>
      <c r="N185">
        <v>7</v>
      </c>
      <c r="O185" s="4" cm="1">
        <f t="array" ref="O185">_xlfn.IFS(J185="Dell Inspiron 15",66989,J185="Lenovo IdeaPad Slim 3i",34690,J185="Mi NoteBook Ultra",57999,J185="Samsung Galaxy Go",36990,J185="Acer Aspire 3",38980)</f>
        <v>38980</v>
      </c>
      <c r="P185" t="s">
        <v>1029</v>
      </c>
    </row>
    <row r="186" spans="1:16" x14ac:dyDescent="0.25">
      <c r="A186">
        <v>21071</v>
      </c>
      <c r="B186" t="s">
        <v>386</v>
      </c>
      <c r="C186" t="s">
        <v>188</v>
      </c>
      <c r="D186" t="s">
        <v>1032</v>
      </c>
      <c r="E186" t="s">
        <v>1035</v>
      </c>
      <c r="F186" t="s">
        <v>1011</v>
      </c>
      <c r="G186" t="str">
        <f>UPPER(Table1[[#This Row],[State]])</f>
        <v>GUJARAT</v>
      </c>
      <c r="H186" t="s">
        <v>1016</v>
      </c>
      <c r="I186" t="s">
        <v>397</v>
      </c>
      <c r="J186" t="s">
        <v>1022</v>
      </c>
      <c r="K186">
        <v>5171</v>
      </c>
      <c r="L186" s="1">
        <v>43963</v>
      </c>
      <c r="M186" s="1">
        <v>43964</v>
      </c>
      <c r="N186">
        <v>6</v>
      </c>
      <c r="O186" s="4" cm="1">
        <f t="array" ref="O186">_xlfn.IFS(J186="Dell Inspiron 15",66989,J186="Lenovo IdeaPad Slim 3i",34690,J186="Mi NoteBook Ultra",57999,J186="Samsung Galaxy Go",36990,J186="Acer Aspire 3",38980)</f>
        <v>66989</v>
      </c>
      <c r="P186" t="s">
        <v>1029</v>
      </c>
    </row>
    <row r="187" spans="1:16" x14ac:dyDescent="0.25">
      <c r="A187">
        <v>17532</v>
      </c>
      <c r="B187" t="s">
        <v>6</v>
      </c>
      <c r="C187" t="s">
        <v>23</v>
      </c>
      <c r="D187" t="s">
        <v>1032</v>
      </c>
      <c r="E187" t="s">
        <v>1036</v>
      </c>
      <c r="F187" t="s">
        <v>1012</v>
      </c>
      <c r="G187" t="str">
        <f>UPPER(Table1[[#This Row],[State]])</f>
        <v>DELHI</v>
      </c>
      <c r="H187" t="s">
        <v>1017</v>
      </c>
      <c r="I187" t="s">
        <v>398</v>
      </c>
      <c r="J187" t="s">
        <v>1023</v>
      </c>
      <c r="K187">
        <v>5020</v>
      </c>
      <c r="L187" s="1">
        <v>43963</v>
      </c>
      <c r="M187" s="1">
        <v>43964</v>
      </c>
      <c r="N187">
        <v>4</v>
      </c>
      <c r="O187" s="4" cm="1">
        <f t="array" ref="O187">_xlfn.IFS(J187="Dell Inspiron 15",66989,J187="Lenovo IdeaPad Slim 3i",34690,J187="Mi NoteBook Ultra",57999,J187="Samsung Galaxy Go",36990,J187="Acer Aspire 3",38980)</f>
        <v>34690</v>
      </c>
      <c r="P187" t="s">
        <v>1029</v>
      </c>
    </row>
    <row r="188" spans="1:16" x14ac:dyDescent="0.25">
      <c r="A188">
        <v>21370</v>
      </c>
      <c r="B188" t="s">
        <v>31</v>
      </c>
      <c r="C188" t="s">
        <v>134</v>
      </c>
      <c r="D188" t="s">
        <v>1032</v>
      </c>
      <c r="E188" t="s">
        <v>1033</v>
      </c>
      <c r="F188" t="s">
        <v>1009</v>
      </c>
      <c r="G188" t="str">
        <f>UPPER(Table1[[#This Row],[State]])</f>
        <v>BIHAR</v>
      </c>
      <c r="H188" t="s">
        <v>1014</v>
      </c>
      <c r="I188" t="s">
        <v>399</v>
      </c>
      <c r="J188" t="s">
        <v>1025</v>
      </c>
      <c r="K188">
        <v>4615</v>
      </c>
      <c r="L188" s="1">
        <v>43963</v>
      </c>
      <c r="M188" s="1">
        <v>43964</v>
      </c>
      <c r="N188">
        <v>4</v>
      </c>
      <c r="O188" s="4" cm="1">
        <f t="array" ref="O188">_xlfn.IFS(J188="Dell Inspiron 15",66989,J188="Lenovo IdeaPad Slim 3i",34690,J188="Mi NoteBook Ultra",57999,J188="Samsung Galaxy Go",36990,J188="Acer Aspire 3",38980)</f>
        <v>36990</v>
      </c>
      <c r="P188" t="s">
        <v>1029</v>
      </c>
    </row>
    <row r="189" spans="1:16" x14ac:dyDescent="0.25">
      <c r="A189">
        <v>21008</v>
      </c>
      <c r="B189" t="s">
        <v>84</v>
      </c>
      <c r="C189" t="s">
        <v>105</v>
      </c>
      <c r="D189" t="s">
        <v>1032</v>
      </c>
      <c r="E189" t="s">
        <v>1036</v>
      </c>
      <c r="F189" t="s">
        <v>1012</v>
      </c>
      <c r="G189" t="str">
        <f>UPPER(Table1[[#This Row],[State]])</f>
        <v>DELHI</v>
      </c>
      <c r="H189" t="s">
        <v>1017</v>
      </c>
      <c r="I189" t="s">
        <v>400</v>
      </c>
      <c r="J189" t="s">
        <v>1022</v>
      </c>
      <c r="K189">
        <v>4922</v>
      </c>
      <c r="L189" s="1">
        <v>43929</v>
      </c>
      <c r="M189" s="1">
        <v>43930</v>
      </c>
      <c r="N189">
        <v>3</v>
      </c>
      <c r="O189" s="4" cm="1">
        <f t="array" ref="O189">_xlfn.IFS(J189="Dell Inspiron 15",66989,J189="Lenovo IdeaPad Slim 3i",34690,J189="Mi NoteBook Ultra",57999,J189="Samsung Galaxy Go",36990,J189="Acer Aspire 3",38980)</f>
        <v>66989</v>
      </c>
      <c r="P189" t="s">
        <v>1029</v>
      </c>
    </row>
    <row r="190" spans="1:16" x14ac:dyDescent="0.25">
      <c r="A190">
        <v>14256</v>
      </c>
      <c r="B190" t="s">
        <v>337</v>
      </c>
      <c r="C190" t="s">
        <v>20</v>
      </c>
      <c r="D190" t="s">
        <v>1032</v>
      </c>
      <c r="E190" t="s">
        <v>1033</v>
      </c>
      <c r="F190" t="s">
        <v>1009</v>
      </c>
      <c r="G190" t="str">
        <f>UPPER(Table1[[#This Row],[State]])</f>
        <v>BIHAR</v>
      </c>
      <c r="H190" t="s">
        <v>1014</v>
      </c>
      <c r="I190" t="s">
        <v>401</v>
      </c>
      <c r="J190" t="s">
        <v>1026</v>
      </c>
      <c r="K190">
        <v>5168</v>
      </c>
      <c r="L190" s="1">
        <v>43979</v>
      </c>
      <c r="M190" s="1">
        <v>43979</v>
      </c>
      <c r="N190">
        <v>10</v>
      </c>
      <c r="O190" s="4" cm="1">
        <f t="array" ref="O190">_xlfn.IFS(J190="Dell Inspiron 15",66989,J190="Lenovo IdeaPad Slim 3i",34690,J190="Mi NoteBook Ultra",57999,J190="Samsung Galaxy Go",36990,J190="Acer Aspire 3",38980)</f>
        <v>38980</v>
      </c>
      <c r="P190" t="s">
        <v>1029</v>
      </c>
    </row>
    <row r="191" spans="1:16" x14ac:dyDescent="0.25">
      <c r="A191">
        <v>23656</v>
      </c>
      <c r="B191" t="s">
        <v>239</v>
      </c>
      <c r="C191" t="s">
        <v>378</v>
      </c>
      <c r="D191" t="s">
        <v>1032</v>
      </c>
      <c r="E191" t="s">
        <v>1034</v>
      </c>
      <c r="F191" t="s">
        <v>1010</v>
      </c>
      <c r="G191" t="str">
        <f>UPPER(Table1[[#This Row],[State]])</f>
        <v>PUDUCHERRY</v>
      </c>
      <c r="H191" t="s">
        <v>1015</v>
      </c>
      <c r="I191" t="s">
        <v>402</v>
      </c>
      <c r="J191" t="s">
        <v>1024</v>
      </c>
      <c r="K191">
        <v>5459</v>
      </c>
      <c r="L191" s="1">
        <v>43873</v>
      </c>
      <c r="M191" s="1">
        <v>43876</v>
      </c>
      <c r="N191">
        <v>3</v>
      </c>
      <c r="O191" s="4" cm="1">
        <f t="array" ref="O191">_xlfn.IFS(J191="Dell Inspiron 15",66989,J191="Lenovo IdeaPad Slim 3i",34690,J191="Mi NoteBook Ultra",57999,J191="Samsung Galaxy Go",36990,J191="Acer Aspire 3",38980)</f>
        <v>57999</v>
      </c>
      <c r="P191" t="s">
        <v>1029</v>
      </c>
    </row>
    <row r="192" spans="1:16" x14ac:dyDescent="0.25">
      <c r="A192">
        <v>18928</v>
      </c>
      <c r="B192" t="s">
        <v>89</v>
      </c>
      <c r="C192" t="s">
        <v>8</v>
      </c>
      <c r="D192" t="s">
        <v>1032</v>
      </c>
      <c r="E192" t="s">
        <v>1033</v>
      </c>
      <c r="F192" t="s">
        <v>1009</v>
      </c>
      <c r="G192" t="str">
        <f>UPPER(Table1[[#This Row],[State]])</f>
        <v>BIHAR</v>
      </c>
      <c r="H192" t="s">
        <v>1014</v>
      </c>
      <c r="I192" t="s">
        <v>403</v>
      </c>
      <c r="J192" t="s">
        <v>1025</v>
      </c>
      <c r="K192">
        <v>5101</v>
      </c>
      <c r="L192" s="1">
        <v>43873</v>
      </c>
      <c r="M192" s="1">
        <v>43875</v>
      </c>
      <c r="N192">
        <v>5</v>
      </c>
      <c r="O192" s="4" cm="1">
        <f t="array" ref="O192">_xlfn.IFS(J192="Dell Inspiron 15",66989,J192="Lenovo IdeaPad Slim 3i",34690,J192="Mi NoteBook Ultra",57999,J192="Samsung Galaxy Go",36990,J192="Acer Aspire 3",38980)</f>
        <v>36990</v>
      </c>
      <c r="P192" t="s">
        <v>1029</v>
      </c>
    </row>
    <row r="193" spans="1:16" x14ac:dyDescent="0.25">
      <c r="A193">
        <v>13425</v>
      </c>
      <c r="B193" t="s">
        <v>404</v>
      </c>
      <c r="C193" t="s">
        <v>23</v>
      </c>
      <c r="D193" t="s">
        <v>1032</v>
      </c>
      <c r="E193" t="s">
        <v>1035</v>
      </c>
      <c r="F193" t="s">
        <v>1011</v>
      </c>
      <c r="G193" t="str">
        <f>UPPER(Table1[[#This Row],[State]])</f>
        <v>GUJARAT</v>
      </c>
      <c r="H193" t="s">
        <v>1016</v>
      </c>
      <c r="I193" t="s">
        <v>405</v>
      </c>
      <c r="J193" t="s">
        <v>1026</v>
      </c>
      <c r="K193">
        <v>5289</v>
      </c>
      <c r="L193" s="1">
        <v>43966</v>
      </c>
      <c r="M193" s="1">
        <v>43967</v>
      </c>
      <c r="N193">
        <v>2</v>
      </c>
      <c r="O193" s="4" cm="1">
        <f t="array" ref="O193">_xlfn.IFS(J193="Dell Inspiron 15",66989,J193="Lenovo IdeaPad Slim 3i",34690,J193="Mi NoteBook Ultra",57999,J193="Samsung Galaxy Go",36990,J193="Acer Aspire 3",38980)</f>
        <v>38980</v>
      </c>
      <c r="P193" t="s">
        <v>1029</v>
      </c>
    </row>
    <row r="194" spans="1:16" x14ac:dyDescent="0.25">
      <c r="A194">
        <v>22281</v>
      </c>
      <c r="B194" t="s">
        <v>382</v>
      </c>
      <c r="C194" t="s">
        <v>145</v>
      </c>
      <c r="D194" t="s">
        <v>1032</v>
      </c>
      <c r="E194" t="s">
        <v>1035</v>
      </c>
      <c r="F194" t="s">
        <v>1011</v>
      </c>
      <c r="G194" t="str">
        <f>UPPER(Table1[[#This Row],[State]])</f>
        <v>GUJARAT</v>
      </c>
      <c r="H194" t="s">
        <v>1016</v>
      </c>
      <c r="I194" t="s">
        <v>406</v>
      </c>
      <c r="J194" t="s">
        <v>1022</v>
      </c>
      <c r="K194">
        <v>4622</v>
      </c>
      <c r="L194" s="1">
        <v>43972</v>
      </c>
      <c r="M194" s="1">
        <v>43974</v>
      </c>
      <c r="N194">
        <v>8</v>
      </c>
      <c r="O194" s="4" cm="1">
        <f t="array" ref="O194">_xlfn.IFS(J194="Dell Inspiron 15",66989,J194="Lenovo IdeaPad Slim 3i",34690,J194="Mi NoteBook Ultra",57999,J194="Samsung Galaxy Go",36990,J194="Acer Aspire 3",38980)</f>
        <v>66989</v>
      </c>
      <c r="P194" t="s">
        <v>1029</v>
      </c>
    </row>
    <row r="195" spans="1:16" x14ac:dyDescent="0.25">
      <c r="A195">
        <v>16988</v>
      </c>
      <c r="B195" t="s">
        <v>407</v>
      </c>
      <c r="C195" t="s">
        <v>134</v>
      </c>
      <c r="D195" t="s">
        <v>1032</v>
      </c>
      <c r="E195" t="s">
        <v>1036</v>
      </c>
      <c r="F195" t="s">
        <v>1012</v>
      </c>
      <c r="G195" t="str">
        <f>UPPER(Table1[[#This Row],[State]])</f>
        <v>DELHI</v>
      </c>
      <c r="H195" t="s">
        <v>1017</v>
      </c>
      <c r="I195" t="s">
        <v>408</v>
      </c>
      <c r="J195" t="s">
        <v>1024</v>
      </c>
      <c r="K195">
        <v>5176</v>
      </c>
      <c r="L195" s="1">
        <v>43966</v>
      </c>
      <c r="M195" s="1">
        <v>43967</v>
      </c>
      <c r="N195">
        <v>4</v>
      </c>
      <c r="O195" s="4" cm="1">
        <f t="array" ref="O195">_xlfn.IFS(J195="Dell Inspiron 15",66989,J195="Lenovo IdeaPad Slim 3i",34690,J195="Mi NoteBook Ultra",57999,J195="Samsung Galaxy Go",36990,J195="Acer Aspire 3",38980)</f>
        <v>57999</v>
      </c>
      <c r="P195" t="s">
        <v>1029</v>
      </c>
    </row>
    <row r="196" spans="1:16" x14ac:dyDescent="0.25">
      <c r="A196">
        <v>14613</v>
      </c>
      <c r="B196" t="s">
        <v>333</v>
      </c>
      <c r="C196" t="s">
        <v>251</v>
      </c>
      <c r="D196" t="s">
        <v>1032</v>
      </c>
      <c r="E196" t="s">
        <v>1033</v>
      </c>
      <c r="F196" t="s">
        <v>1009</v>
      </c>
      <c r="G196" t="str">
        <f>UPPER(Table1[[#This Row],[State]])</f>
        <v>BIHAR</v>
      </c>
      <c r="H196" t="s">
        <v>1014</v>
      </c>
      <c r="I196" t="s">
        <v>409</v>
      </c>
      <c r="J196" t="s">
        <v>1026</v>
      </c>
      <c r="K196">
        <v>4826</v>
      </c>
      <c r="L196" s="1">
        <v>43972</v>
      </c>
      <c r="M196" s="1">
        <v>43973</v>
      </c>
      <c r="N196">
        <v>10</v>
      </c>
      <c r="O196" s="4" cm="1">
        <f t="array" ref="O196">_xlfn.IFS(J196="Dell Inspiron 15",66989,J196="Lenovo IdeaPad Slim 3i",34690,J196="Mi NoteBook Ultra",57999,J196="Samsung Galaxy Go",36990,J196="Acer Aspire 3",38980)</f>
        <v>38980</v>
      </c>
      <c r="P196" t="s">
        <v>1029</v>
      </c>
    </row>
    <row r="197" spans="1:16" x14ac:dyDescent="0.25">
      <c r="A197">
        <v>13014</v>
      </c>
      <c r="B197" t="s">
        <v>410</v>
      </c>
      <c r="C197" t="s">
        <v>255</v>
      </c>
      <c r="D197" t="s">
        <v>1032</v>
      </c>
      <c r="E197" t="s">
        <v>1034</v>
      </c>
      <c r="F197" t="s">
        <v>1010</v>
      </c>
      <c r="G197" t="str">
        <f>UPPER(Table1[[#This Row],[State]])</f>
        <v>PUDUCHERRY</v>
      </c>
      <c r="H197" t="s">
        <v>1015</v>
      </c>
      <c r="I197" t="s">
        <v>411</v>
      </c>
      <c r="J197" t="s">
        <v>1022</v>
      </c>
      <c r="K197">
        <v>5171</v>
      </c>
      <c r="L197" s="1">
        <v>43972</v>
      </c>
      <c r="M197" s="1">
        <v>43974</v>
      </c>
      <c r="N197">
        <v>2</v>
      </c>
      <c r="O197" s="4" cm="1">
        <f t="array" ref="O197">_xlfn.IFS(J197="Dell Inspiron 15",66989,J197="Lenovo IdeaPad Slim 3i",34690,J197="Mi NoteBook Ultra",57999,J197="Samsung Galaxy Go",36990,J197="Acer Aspire 3",38980)</f>
        <v>66989</v>
      </c>
      <c r="P197" t="s">
        <v>1029</v>
      </c>
    </row>
    <row r="198" spans="1:16" x14ac:dyDescent="0.25">
      <c r="A198">
        <v>14129</v>
      </c>
      <c r="B198" t="s">
        <v>412</v>
      </c>
      <c r="C198" t="s">
        <v>8</v>
      </c>
      <c r="D198" t="s">
        <v>1032</v>
      </c>
      <c r="E198" t="s">
        <v>1033</v>
      </c>
      <c r="F198" t="s">
        <v>1009</v>
      </c>
      <c r="G198" t="str">
        <f>UPPER(Table1[[#This Row],[State]])</f>
        <v>BIHAR</v>
      </c>
      <c r="H198" t="s">
        <v>1014</v>
      </c>
      <c r="I198" t="s">
        <v>413</v>
      </c>
      <c r="J198" t="s">
        <v>1023</v>
      </c>
      <c r="K198">
        <v>4999</v>
      </c>
      <c r="L198" s="1">
        <v>43858</v>
      </c>
      <c r="M198" s="1">
        <v>43859</v>
      </c>
      <c r="N198">
        <v>4</v>
      </c>
      <c r="O198" s="4" cm="1">
        <f t="array" ref="O198">_xlfn.IFS(J198="Dell Inspiron 15",66989,J198="Lenovo IdeaPad Slim 3i",34690,J198="Mi NoteBook Ultra",57999,J198="Samsung Galaxy Go",36990,J198="Acer Aspire 3",38980)</f>
        <v>34690</v>
      </c>
      <c r="P198" t="s">
        <v>1029</v>
      </c>
    </row>
    <row r="199" spans="1:16" x14ac:dyDescent="0.25">
      <c r="A199">
        <v>15851</v>
      </c>
      <c r="B199" t="s">
        <v>100</v>
      </c>
      <c r="C199" t="s">
        <v>414</v>
      </c>
      <c r="D199" t="s">
        <v>1032</v>
      </c>
      <c r="E199" t="s">
        <v>1035</v>
      </c>
      <c r="F199" t="s">
        <v>1011</v>
      </c>
      <c r="G199" t="str">
        <f>UPPER(Table1[[#This Row],[State]])</f>
        <v>GUJARAT</v>
      </c>
      <c r="H199" t="s">
        <v>1016</v>
      </c>
      <c r="I199" t="s">
        <v>415</v>
      </c>
      <c r="J199" t="s">
        <v>1024</v>
      </c>
      <c r="K199">
        <v>5416</v>
      </c>
      <c r="L199" s="1">
        <v>43858</v>
      </c>
      <c r="M199" s="1">
        <v>43860</v>
      </c>
      <c r="N199">
        <v>2</v>
      </c>
      <c r="O199" s="4" cm="1">
        <f t="array" ref="O199">_xlfn.IFS(J199="Dell Inspiron 15",66989,J199="Lenovo IdeaPad Slim 3i",34690,J199="Mi NoteBook Ultra",57999,J199="Samsung Galaxy Go",36990,J199="Acer Aspire 3",38980)</f>
        <v>57999</v>
      </c>
      <c r="P199" t="s">
        <v>1029</v>
      </c>
    </row>
    <row r="200" spans="1:16" x14ac:dyDescent="0.25">
      <c r="A200">
        <v>21747</v>
      </c>
      <c r="B200" t="s">
        <v>226</v>
      </c>
      <c r="C200" t="s">
        <v>105</v>
      </c>
      <c r="D200" t="s">
        <v>1032</v>
      </c>
      <c r="E200" t="s">
        <v>1035</v>
      </c>
      <c r="F200" t="s">
        <v>1011</v>
      </c>
      <c r="G200" t="str">
        <f>UPPER(Table1[[#This Row],[State]])</f>
        <v>GUJARAT</v>
      </c>
      <c r="H200" t="s">
        <v>1016</v>
      </c>
      <c r="I200" t="s">
        <v>416</v>
      </c>
      <c r="J200" t="s">
        <v>1025</v>
      </c>
      <c r="K200">
        <v>4807</v>
      </c>
      <c r="L200" s="1">
        <v>43953</v>
      </c>
      <c r="M200" s="1">
        <v>43955</v>
      </c>
      <c r="N200">
        <v>4</v>
      </c>
      <c r="O200" s="4" cm="1">
        <f t="array" ref="O200">_xlfn.IFS(J200="Dell Inspiron 15",66989,J200="Lenovo IdeaPad Slim 3i",34690,J200="Mi NoteBook Ultra",57999,J200="Samsung Galaxy Go",36990,J200="Acer Aspire 3",38980)</f>
        <v>36990</v>
      </c>
      <c r="P200" t="s">
        <v>1029</v>
      </c>
    </row>
    <row r="201" spans="1:16" x14ac:dyDescent="0.25">
      <c r="A201">
        <v>19117</v>
      </c>
      <c r="B201" t="s">
        <v>6</v>
      </c>
      <c r="C201" t="s">
        <v>359</v>
      </c>
      <c r="D201" t="s">
        <v>1032</v>
      </c>
      <c r="E201" t="s">
        <v>1036</v>
      </c>
      <c r="F201" t="s">
        <v>1012</v>
      </c>
      <c r="G201" t="str">
        <f>UPPER(Table1[[#This Row],[State]])</f>
        <v>DELHI</v>
      </c>
      <c r="H201" t="s">
        <v>1017</v>
      </c>
      <c r="I201" t="s">
        <v>417</v>
      </c>
      <c r="J201" t="s">
        <v>1026</v>
      </c>
      <c r="K201">
        <v>5441</v>
      </c>
      <c r="L201" s="1">
        <v>43883</v>
      </c>
      <c r="M201" s="1">
        <v>43884</v>
      </c>
      <c r="N201">
        <v>7</v>
      </c>
      <c r="O201" s="4" cm="1">
        <f t="array" ref="O201">_xlfn.IFS(J201="Dell Inspiron 15",66989,J201="Lenovo IdeaPad Slim 3i",34690,J201="Mi NoteBook Ultra",57999,J201="Samsung Galaxy Go",36990,J201="Acer Aspire 3",38980)</f>
        <v>38980</v>
      </c>
      <c r="P201" t="s">
        <v>1029</v>
      </c>
    </row>
    <row r="202" spans="1:16" x14ac:dyDescent="0.25">
      <c r="A202">
        <v>18462</v>
      </c>
      <c r="B202" t="s">
        <v>344</v>
      </c>
      <c r="C202" t="s">
        <v>418</v>
      </c>
      <c r="D202" t="s">
        <v>1032</v>
      </c>
      <c r="E202" t="s">
        <v>1033</v>
      </c>
      <c r="F202" t="s">
        <v>1009</v>
      </c>
      <c r="G202" t="str">
        <f>UPPER(Table1[[#This Row],[State]])</f>
        <v>BIHAR</v>
      </c>
      <c r="H202" t="s">
        <v>1014</v>
      </c>
      <c r="I202" t="s">
        <v>419</v>
      </c>
      <c r="J202" t="s">
        <v>1022</v>
      </c>
      <c r="K202">
        <v>4913</v>
      </c>
      <c r="L202" s="1">
        <v>43917</v>
      </c>
      <c r="M202" s="1">
        <v>43918</v>
      </c>
      <c r="N202">
        <v>8</v>
      </c>
      <c r="O202" s="4" cm="1">
        <f t="array" ref="O202">_xlfn.IFS(J202="Dell Inspiron 15",66989,J202="Lenovo IdeaPad Slim 3i",34690,J202="Mi NoteBook Ultra",57999,J202="Samsung Galaxy Go",36990,J202="Acer Aspire 3",38980)</f>
        <v>66989</v>
      </c>
      <c r="P202" t="s">
        <v>1029</v>
      </c>
    </row>
    <row r="203" spans="1:16" x14ac:dyDescent="0.25">
      <c r="A203">
        <v>22275</v>
      </c>
      <c r="B203" t="s">
        <v>47</v>
      </c>
      <c r="C203" t="s">
        <v>378</v>
      </c>
      <c r="D203" t="s">
        <v>1032</v>
      </c>
      <c r="E203" t="s">
        <v>1034</v>
      </c>
      <c r="F203" t="s">
        <v>1010</v>
      </c>
      <c r="G203" t="str">
        <f>UPPER(Table1[[#This Row],[State]])</f>
        <v>PUDUCHERRY</v>
      </c>
      <c r="H203" t="s">
        <v>1015</v>
      </c>
      <c r="I203" t="s">
        <v>420</v>
      </c>
      <c r="J203" t="s">
        <v>1024</v>
      </c>
      <c r="K203">
        <v>4713</v>
      </c>
      <c r="L203" s="1">
        <v>43850</v>
      </c>
      <c r="M203" s="1">
        <v>43852</v>
      </c>
      <c r="N203">
        <v>10</v>
      </c>
      <c r="O203" s="4" cm="1">
        <f t="array" ref="O203">_xlfn.IFS(J203="Dell Inspiron 15",66989,J203="Lenovo IdeaPad Slim 3i",34690,J203="Mi NoteBook Ultra",57999,J203="Samsung Galaxy Go",36990,J203="Acer Aspire 3",38980)</f>
        <v>57999</v>
      </c>
      <c r="P203" t="s">
        <v>1029</v>
      </c>
    </row>
    <row r="204" spans="1:16" x14ac:dyDescent="0.25">
      <c r="A204">
        <v>19077</v>
      </c>
      <c r="B204" t="s">
        <v>79</v>
      </c>
      <c r="C204" t="s">
        <v>316</v>
      </c>
      <c r="D204" t="s">
        <v>1032</v>
      </c>
      <c r="E204" t="s">
        <v>1033</v>
      </c>
      <c r="F204" t="s">
        <v>1009</v>
      </c>
      <c r="G204" t="str">
        <f>UPPER(Table1[[#This Row],[State]])</f>
        <v>BIHAR</v>
      </c>
      <c r="H204" t="s">
        <v>1014</v>
      </c>
      <c r="I204" t="s">
        <v>421</v>
      </c>
      <c r="J204" t="s">
        <v>1026</v>
      </c>
      <c r="K204">
        <v>5085</v>
      </c>
      <c r="L204" s="1">
        <v>43902</v>
      </c>
      <c r="M204" s="1">
        <v>43909</v>
      </c>
      <c r="N204">
        <v>4</v>
      </c>
      <c r="O204" s="4" cm="1">
        <f t="array" ref="O204">_xlfn.IFS(J204="Dell Inspiron 15",66989,J204="Lenovo IdeaPad Slim 3i",34690,J204="Mi NoteBook Ultra",57999,J204="Samsung Galaxy Go",36990,J204="Acer Aspire 3",38980)</f>
        <v>38980</v>
      </c>
      <c r="P204" t="s">
        <v>1029</v>
      </c>
    </row>
    <row r="205" spans="1:16" x14ac:dyDescent="0.25">
      <c r="A205">
        <v>21580</v>
      </c>
      <c r="B205" t="s">
        <v>59</v>
      </c>
      <c r="C205" t="s">
        <v>90</v>
      </c>
      <c r="D205" t="s">
        <v>1032</v>
      </c>
      <c r="E205" t="s">
        <v>1035</v>
      </c>
      <c r="F205" t="s">
        <v>1011</v>
      </c>
      <c r="G205" t="str">
        <f>UPPER(Table1[[#This Row],[State]])</f>
        <v>GUJARAT</v>
      </c>
      <c r="H205" t="s">
        <v>1016</v>
      </c>
      <c r="I205" t="s">
        <v>422</v>
      </c>
      <c r="J205" t="s">
        <v>1022</v>
      </c>
      <c r="K205">
        <v>4728</v>
      </c>
      <c r="L205" s="1">
        <v>43997</v>
      </c>
      <c r="M205" s="1">
        <v>43999</v>
      </c>
      <c r="N205">
        <v>2</v>
      </c>
      <c r="O205" s="4" cm="1">
        <f t="array" ref="O205">_xlfn.IFS(J205="Dell Inspiron 15",66989,J205="Lenovo IdeaPad Slim 3i",34690,J205="Mi NoteBook Ultra",57999,J205="Samsung Galaxy Go",36990,J205="Acer Aspire 3",38980)</f>
        <v>66989</v>
      </c>
      <c r="P205" t="s">
        <v>1029</v>
      </c>
    </row>
    <row r="206" spans="1:16" x14ac:dyDescent="0.25">
      <c r="A206">
        <v>25037</v>
      </c>
      <c r="B206" t="s">
        <v>59</v>
      </c>
      <c r="C206" t="s">
        <v>220</v>
      </c>
      <c r="D206" t="s">
        <v>1032</v>
      </c>
      <c r="E206" t="s">
        <v>1035</v>
      </c>
      <c r="F206" t="s">
        <v>1011</v>
      </c>
      <c r="G206" t="str">
        <f>UPPER(Table1[[#This Row],[State]])</f>
        <v>GUJARAT</v>
      </c>
      <c r="H206" t="s">
        <v>1016</v>
      </c>
      <c r="I206" t="s">
        <v>423</v>
      </c>
      <c r="J206" t="s">
        <v>1023</v>
      </c>
      <c r="K206">
        <v>4810</v>
      </c>
      <c r="L206" s="1">
        <v>43997</v>
      </c>
      <c r="M206" s="1">
        <v>43998</v>
      </c>
      <c r="N206">
        <v>1</v>
      </c>
      <c r="O206" s="4" cm="1">
        <f t="array" ref="O206">_xlfn.IFS(J206="Dell Inspiron 15",66989,J206="Lenovo IdeaPad Slim 3i",34690,J206="Mi NoteBook Ultra",57999,J206="Samsung Galaxy Go",36990,J206="Acer Aspire 3",38980)</f>
        <v>34690</v>
      </c>
      <c r="P206" t="s">
        <v>1029</v>
      </c>
    </row>
    <row r="207" spans="1:16" x14ac:dyDescent="0.25">
      <c r="A207">
        <v>20857</v>
      </c>
      <c r="B207" t="s">
        <v>155</v>
      </c>
      <c r="C207" t="s">
        <v>199</v>
      </c>
      <c r="D207" t="s">
        <v>1032</v>
      </c>
      <c r="E207" t="s">
        <v>1035</v>
      </c>
      <c r="F207" t="s">
        <v>1011</v>
      </c>
      <c r="G207" t="str">
        <f>UPPER(Table1[[#This Row],[State]])</f>
        <v>GUJARAT</v>
      </c>
      <c r="H207" t="s">
        <v>1016</v>
      </c>
      <c r="I207" t="s">
        <v>424</v>
      </c>
      <c r="J207" t="s">
        <v>1025</v>
      </c>
      <c r="K207">
        <v>4558</v>
      </c>
      <c r="L207" s="1">
        <v>43961</v>
      </c>
      <c r="M207" s="1">
        <v>43962</v>
      </c>
      <c r="N207">
        <v>4</v>
      </c>
      <c r="O207" s="4" cm="1">
        <f t="array" ref="O207">_xlfn.IFS(J207="Dell Inspiron 15",66989,J207="Lenovo IdeaPad Slim 3i",34690,J207="Mi NoteBook Ultra",57999,J207="Samsung Galaxy Go",36990,J207="Acer Aspire 3",38980)</f>
        <v>36990</v>
      </c>
      <c r="P207" t="s">
        <v>1029</v>
      </c>
    </row>
    <row r="208" spans="1:16" x14ac:dyDescent="0.25">
      <c r="A208">
        <v>16923</v>
      </c>
      <c r="B208" t="s">
        <v>257</v>
      </c>
      <c r="C208" t="s">
        <v>425</v>
      </c>
      <c r="D208" t="s">
        <v>1032</v>
      </c>
      <c r="E208" t="s">
        <v>1036</v>
      </c>
      <c r="F208" t="s">
        <v>1012</v>
      </c>
      <c r="G208" t="str">
        <f>UPPER(Table1[[#This Row],[State]])</f>
        <v>DELHI</v>
      </c>
      <c r="H208" t="s">
        <v>1017</v>
      </c>
      <c r="I208" t="s">
        <v>426</v>
      </c>
      <c r="J208" t="s">
        <v>1022</v>
      </c>
      <c r="K208">
        <v>5461</v>
      </c>
      <c r="L208" s="1">
        <v>43900</v>
      </c>
      <c r="M208" s="1">
        <v>43900</v>
      </c>
      <c r="N208">
        <v>10</v>
      </c>
      <c r="O208" s="4" cm="1">
        <f t="array" ref="O208">_xlfn.IFS(J208="Dell Inspiron 15",66989,J208="Lenovo IdeaPad Slim 3i",34690,J208="Mi NoteBook Ultra",57999,J208="Samsung Galaxy Go",36990,J208="Acer Aspire 3",38980)</f>
        <v>66989</v>
      </c>
      <c r="P208" t="s">
        <v>1029</v>
      </c>
    </row>
    <row r="209" spans="1:16" x14ac:dyDescent="0.25">
      <c r="A209">
        <v>21714</v>
      </c>
      <c r="B209" t="s">
        <v>202</v>
      </c>
      <c r="C209" t="s">
        <v>427</v>
      </c>
      <c r="D209" t="s">
        <v>1032</v>
      </c>
      <c r="E209" t="s">
        <v>1035</v>
      </c>
      <c r="F209" t="s">
        <v>1011</v>
      </c>
      <c r="G209" t="str">
        <f>UPPER(Table1[[#This Row],[State]])</f>
        <v>GUJARAT</v>
      </c>
      <c r="H209" t="s">
        <v>1016</v>
      </c>
      <c r="I209" t="s">
        <v>428</v>
      </c>
      <c r="J209" t="s">
        <v>1026</v>
      </c>
      <c r="K209">
        <v>5135</v>
      </c>
      <c r="L209" s="1">
        <v>43858</v>
      </c>
      <c r="M209" s="1">
        <v>43860</v>
      </c>
      <c r="N209">
        <v>5</v>
      </c>
      <c r="O209" s="4" cm="1">
        <f t="array" ref="O209">_xlfn.IFS(J209="Dell Inspiron 15",66989,J209="Lenovo IdeaPad Slim 3i",34690,J209="Mi NoteBook Ultra",57999,J209="Samsung Galaxy Go",36990,J209="Acer Aspire 3",38980)</f>
        <v>38980</v>
      </c>
      <c r="P209" t="s">
        <v>1029</v>
      </c>
    </row>
    <row r="210" spans="1:16" x14ac:dyDescent="0.25">
      <c r="A210">
        <v>15744</v>
      </c>
      <c r="B210" t="s">
        <v>318</v>
      </c>
      <c r="C210" t="s">
        <v>429</v>
      </c>
      <c r="D210" t="s">
        <v>1032</v>
      </c>
      <c r="E210" t="s">
        <v>1035</v>
      </c>
      <c r="F210" t="s">
        <v>1011</v>
      </c>
      <c r="G210" t="str">
        <f>UPPER(Table1[[#This Row],[State]])</f>
        <v>GUJARAT</v>
      </c>
      <c r="H210" t="s">
        <v>1016</v>
      </c>
      <c r="I210" t="s">
        <v>430</v>
      </c>
      <c r="J210" t="s">
        <v>1024</v>
      </c>
      <c r="K210">
        <v>5422</v>
      </c>
      <c r="L210" s="1">
        <v>43900</v>
      </c>
      <c r="M210" s="1">
        <v>43901</v>
      </c>
      <c r="N210">
        <v>3</v>
      </c>
      <c r="O210" s="4" cm="1">
        <f t="array" ref="O210">_xlfn.IFS(J210="Dell Inspiron 15",66989,J210="Lenovo IdeaPad Slim 3i",34690,J210="Mi NoteBook Ultra",57999,J210="Samsung Galaxy Go",36990,J210="Acer Aspire 3",38980)</f>
        <v>57999</v>
      </c>
      <c r="P210" t="s">
        <v>1029</v>
      </c>
    </row>
    <row r="211" spans="1:16" x14ac:dyDescent="0.25">
      <c r="A211">
        <v>15737</v>
      </c>
      <c r="B211" t="s">
        <v>226</v>
      </c>
      <c r="C211" t="s">
        <v>342</v>
      </c>
      <c r="D211" t="s">
        <v>1032</v>
      </c>
      <c r="E211" t="s">
        <v>1036</v>
      </c>
      <c r="F211" t="s">
        <v>1012</v>
      </c>
      <c r="G211" t="str">
        <f>UPPER(Table1[[#This Row],[State]])</f>
        <v>DELHI</v>
      </c>
      <c r="H211" t="s">
        <v>1017</v>
      </c>
      <c r="I211" t="s">
        <v>431</v>
      </c>
      <c r="J211" t="s">
        <v>1025</v>
      </c>
      <c r="K211">
        <v>4704</v>
      </c>
      <c r="L211" s="1">
        <v>43941</v>
      </c>
      <c r="M211" s="1">
        <v>43942</v>
      </c>
      <c r="N211">
        <v>6</v>
      </c>
      <c r="O211" s="4" cm="1">
        <f t="array" ref="O211">_xlfn.IFS(J211="Dell Inspiron 15",66989,J211="Lenovo IdeaPad Slim 3i",34690,J211="Mi NoteBook Ultra",57999,J211="Samsung Galaxy Go",36990,J211="Acer Aspire 3",38980)</f>
        <v>36990</v>
      </c>
      <c r="P211" t="s">
        <v>1029</v>
      </c>
    </row>
    <row r="212" spans="1:16" x14ac:dyDescent="0.25">
      <c r="A212">
        <v>21203</v>
      </c>
      <c r="B212" t="s">
        <v>432</v>
      </c>
      <c r="C212" t="s">
        <v>80</v>
      </c>
      <c r="D212" t="s">
        <v>1032</v>
      </c>
      <c r="E212" t="s">
        <v>1036</v>
      </c>
      <c r="F212" t="s">
        <v>1012</v>
      </c>
      <c r="G212" t="str">
        <f>UPPER(Table1[[#This Row],[State]])</f>
        <v>DELHI</v>
      </c>
      <c r="H212" t="s">
        <v>1017</v>
      </c>
      <c r="I212" t="s">
        <v>433</v>
      </c>
      <c r="J212" t="s">
        <v>1026</v>
      </c>
      <c r="K212">
        <v>4654</v>
      </c>
      <c r="L212" s="1">
        <v>43941</v>
      </c>
      <c r="M212" s="1">
        <v>43942</v>
      </c>
      <c r="N212">
        <v>8</v>
      </c>
      <c r="O212" s="4" cm="1">
        <f t="array" ref="O212">_xlfn.IFS(J212="Dell Inspiron 15",66989,J212="Lenovo IdeaPad Slim 3i",34690,J212="Mi NoteBook Ultra",57999,J212="Samsung Galaxy Go",36990,J212="Acer Aspire 3",38980)</f>
        <v>38980</v>
      </c>
      <c r="P212" t="s">
        <v>1029</v>
      </c>
    </row>
    <row r="213" spans="1:16" x14ac:dyDescent="0.25">
      <c r="A213">
        <v>23278</v>
      </c>
      <c r="B213" t="s">
        <v>434</v>
      </c>
      <c r="C213" t="s">
        <v>74</v>
      </c>
      <c r="D213" t="s">
        <v>1032</v>
      </c>
      <c r="E213" t="s">
        <v>1033</v>
      </c>
      <c r="F213" t="s">
        <v>1009</v>
      </c>
      <c r="G213" t="str">
        <f>UPPER(Table1[[#This Row],[State]])</f>
        <v>BIHAR</v>
      </c>
      <c r="H213" t="s">
        <v>1014</v>
      </c>
      <c r="I213" t="s">
        <v>435</v>
      </c>
      <c r="J213" t="s">
        <v>1022</v>
      </c>
      <c r="K213">
        <v>4603</v>
      </c>
      <c r="L213" s="1">
        <v>43960</v>
      </c>
      <c r="M213" s="1">
        <v>43962</v>
      </c>
      <c r="N213">
        <v>1</v>
      </c>
      <c r="O213" s="4" cm="1">
        <f t="array" ref="O213">_xlfn.IFS(J213="Dell Inspiron 15",66989,J213="Lenovo IdeaPad Slim 3i",34690,J213="Mi NoteBook Ultra",57999,J213="Samsung Galaxy Go",36990,J213="Acer Aspire 3",38980)</f>
        <v>66989</v>
      </c>
      <c r="P213" t="s">
        <v>1029</v>
      </c>
    </row>
    <row r="214" spans="1:16" x14ac:dyDescent="0.25">
      <c r="A214">
        <v>25473</v>
      </c>
      <c r="B214" t="s">
        <v>436</v>
      </c>
      <c r="C214" t="s">
        <v>437</v>
      </c>
      <c r="D214" t="s">
        <v>1032</v>
      </c>
      <c r="E214" t="s">
        <v>1034</v>
      </c>
      <c r="F214" t="s">
        <v>1010</v>
      </c>
      <c r="G214" t="str">
        <f>UPPER(Table1[[#This Row],[State]])</f>
        <v>PUDUCHERRY</v>
      </c>
      <c r="H214" t="s">
        <v>1015</v>
      </c>
      <c r="I214" t="s">
        <v>438</v>
      </c>
      <c r="J214" t="s">
        <v>1024</v>
      </c>
      <c r="K214">
        <v>4888</v>
      </c>
      <c r="L214" s="1">
        <v>43994</v>
      </c>
      <c r="M214" s="1">
        <v>43996</v>
      </c>
      <c r="N214">
        <v>10</v>
      </c>
      <c r="O214" s="4" cm="1">
        <f t="array" ref="O214">_xlfn.IFS(J214="Dell Inspiron 15",66989,J214="Lenovo IdeaPad Slim 3i",34690,J214="Mi NoteBook Ultra",57999,J214="Samsung Galaxy Go",36990,J214="Acer Aspire 3",38980)</f>
        <v>57999</v>
      </c>
      <c r="P214" t="s">
        <v>1029</v>
      </c>
    </row>
    <row r="215" spans="1:16" x14ac:dyDescent="0.25">
      <c r="A215">
        <v>18326</v>
      </c>
      <c r="B215" t="s">
        <v>185</v>
      </c>
      <c r="C215" t="s">
        <v>324</v>
      </c>
      <c r="D215" t="s">
        <v>1032</v>
      </c>
      <c r="E215" t="s">
        <v>1033</v>
      </c>
      <c r="F215" t="s">
        <v>1009</v>
      </c>
      <c r="G215" t="str">
        <f>UPPER(Table1[[#This Row],[State]])</f>
        <v>BIHAR</v>
      </c>
      <c r="H215" t="s">
        <v>1014</v>
      </c>
      <c r="I215" t="s">
        <v>439</v>
      </c>
      <c r="J215" t="s">
        <v>1026</v>
      </c>
      <c r="K215">
        <v>4559</v>
      </c>
      <c r="L215" s="1">
        <v>43892</v>
      </c>
      <c r="M215" s="1">
        <v>43894</v>
      </c>
      <c r="N215">
        <v>6</v>
      </c>
      <c r="O215" s="4" cm="1">
        <f t="array" ref="O215">_xlfn.IFS(J215="Dell Inspiron 15",66989,J215="Lenovo IdeaPad Slim 3i",34690,J215="Mi NoteBook Ultra",57999,J215="Samsung Galaxy Go",36990,J215="Acer Aspire 3",38980)</f>
        <v>38980</v>
      </c>
      <c r="P215" t="s">
        <v>1029</v>
      </c>
    </row>
    <row r="216" spans="1:16" x14ac:dyDescent="0.25">
      <c r="A216">
        <v>12772</v>
      </c>
      <c r="B216" t="s">
        <v>103</v>
      </c>
      <c r="C216" t="s">
        <v>80</v>
      </c>
      <c r="D216" t="s">
        <v>1032</v>
      </c>
      <c r="E216" t="s">
        <v>1035</v>
      </c>
      <c r="F216" t="s">
        <v>1011</v>
      </c>
      <c r="G216" t="str">
        <f>UPPER(Table1[[#This Row],[State]])</f>
        <v>GUJARAT</v>
      </c>
      <c r="H216" t="s">
        <v>1016</v>
      </c>
      <c r="I216" t="s">
        <v>440</v>
      </c>
      <c r="J216" t="s">
        <v>1022</v>
      </c>
      <c r="K216">
        <v>4711</v>
      </c>
      <c r="L216" s="1">
        <v>43892</v>
      </c>
      <c r="M216" s="1">
        <v>43892</v>
      </c>
      <c r="N216">
        <v>5</v>
      </c>
      <c r="O216" s="4" cm="1">
        <f t="array" ref="O216">_xlfn.IFS(J216="Dell Inspiron 15",66989,J216="Lenovo IdeaPad Slim 3i",34690,J216="Mi NoteBook Ultra",57999,J216="Samsung Galaxy Go",36990,J216="Acer Aspire 3",38980)</f>
        <v>66989</v>
      </c>
      <c r="P216" t="s">
        <v>1029</v>
      </c>
    </row>
    <row r="217" spans="1:16" x14ac:dyDescent="0.25">
      <c r="A217">
        <v>15836</v>
      </c>
      <c r="B217" t="s">
        <v>292</v>
      </c>
      <c r="C217" t="s">
        <v>441</v>
      </c>
      <c r="D217" t="s">
        <v>1032</v>
      </c>
      <c r="E217" t="s">
        <v>1035</v>
      </c>
      <c r="F217" t="s">
        <v>1011</v>
      </c>
      <c r="G217" t="str">
        <f>UPPER(Table1[[#This Row],[State]])</f>
        <v>GUJARAT</v>
      </c>
      <c r="H217" t="s">
        <v>1016</v>
      </c>
      <c r="I217" t="s">
        <v>442</v>
      </c>
      <c r="J217" t="s">
        <v>1023</v>
      </c>
      <c r="K217">
        <v>5179</v>
      </c>
      <c r="L217" s="1">
        <v>43832</v>
      </c>
      <c r="M217" s="1">
        <v>43839</v>
      </c>
      <c r="N217">
        <v>4</v>
      </c>
      <c r="O217" s="4" cm="1">
        <f t="array" ref="O217">_xlfn.IFS(J217="Dell Inspiron 15",66989,J217="Lenovo IdeaPad Slim 3i",34690,J217="Mi NoteBook Ultra",57999,J217="Samsung Galaxy Go",36990,J217="Acer Aspire 3",38980)</f>
        <v>34690</v>
      </c>
      <c r="P217" t="s">
        <v>1029</v>
      </c>
    </row>
    <row r="218" spans="1:16" x14ac:dyDescent="0.25">
      <c r="A218">
        <v>22922</v>
      </c>
      <c r="B218" t="s">
        <v>61</v>
      </c>
      <c r="C218" t="s">
        <v>118</v>
      </c>
      <c r="D218" t="s">
        <v>1032</v>
      </c>
      <c r="E218" t="s">
        <v>1036</v>
      </c>
      <c r="F218" t="s">
        <v>1012</v>
      </c>
      <c r="G218" t="str">
        <f>UPPER(Table1[[#This Row],[State]])</f>
        <v>DELHI</v>
      </c>
      <c r="H218" t="s">
        <v>1017</v>
      </c>
      <c r="I218" t="s">
        <v>443</v>
      </c>
      <c r="J218" t="s">
        <v>1022</v>
      </c>
      <c r="K218">
        <v>4902</v>
      </c>
      <c r="L218" s="1">
        <v>43832</v>
      </c>
      <c r="M218" s="1">
        <v>43832</v>
      </c>
      <c r="N218">
        <v>5</v>
      </c>
      <c r="O218" s="4" cm="1">
        <f t="array" ref="O218">_xlfn.IFS(J218="Dell Inspiron 15",66989,J218="Lenovo IdeaPad Slim 3i",34690,J218="Mi NoteBook Ultra",57999,J218="Samsung Galaxy Go",36990,J218="Acer Aspire 3",38980)</f>
        <v>66989</v>
      </c>
      <c r="P218" t="s">
        <v>1029</v>
      </c>
    </row>
    <row r="219" spans="1:16" x14ac:dyDescent="0.25">
      <c r="A219">
        <v>18690</v>
      </c>
      <c r="B219" t="s">
        <v>103</v>
      </c>
      <c r="C219" t="s">
        <v>159</v>
      </c>
      <c r="D219" t="s">
        <v>1032</v>
      </c>
      <c r="E219" t="s">
        <v>1033</v>
      </c>
      <c r="F219" t="s">
        <v>1009</v>
      </c>
      <c r="G219" t="str">
        <f>UPPER(Table1[[#This Row],[State]])</f>
        <v>BIHAR</v>
      </c>
      <c r="H219" t="s">
        <v>1014</v>
      </c>
      <c r="I219" t="s">
        <v>444</v>
      </c>
      <c r="J219" t="s">
        <v>1023</v>
      </c>
      <c r="K219">
        <v>4664</v>
      </c>
      <c r="L219" s="1">
        <v>43832</v>
      </c>
      <c r="M219" s="1">
        <v>43834</v>
      </c>
      <c r="N219">
        <v>7</v>
      </c>
      <c r="O219" s="4" cm="1">
        <f t="array" ref="O219">_xlfn.IFS(J219="Dell Inspiron 15",66989,J219="Lenovo IdeaPad Slim 3i",34690,J219="Mi NoteBook Ultra",57999,J219="Samsung Galaxy Go",36990,J219="Acer Aspire 3",38980)</f>
        <v>34690</v>
      </c>
      <c r="P219" t="s">
        <v>1029</v>
      </c>
    </row>
    <row r="220" spans="1:16" x14ac:dyDescent="0.25">
      <c r="A220">
        <v>14352</v>
      </c>
      <c r="B220" t="s">
        <v>138</v>
      </c>
      <c r="C220" t="s">
        <v>41</v>
      </c>
      <c r="D220" t="s">
        <v>1032</v>
      </c>
      <c r="E220" t="s">
        <v>1034</v>
      </c>
      <c r="F220" t="s">
        <v>1010</v>
      </c>
      <c r="G220" t="str">
        <f>UPPER(Table1[[#This Row],[State]])</f>
        <v>PUDUCHERRY</v>
      </c>
      <c r="H220" t="s">
        <v>1015</v>
      </c>
      <c r="I220" t="s">
        <v>445</v>
      </c>
      <c r="J220" t="s">
        <v>1024</v>
      </c>
      <c r="K220">
        <v>5507</v>
      </c>
      <c r="L220" s="1">
        <v>43832</v>
      </c>
      <c r="M220" s="1">
        <v>43839</v>
      </c>
      <c r="N220">
        <v>9</v>
      </c>
      <c r="O220" s="4" cm="1">
        <f t="array" ref="O220">_xlfn.IFS(J220="Dell Inspiron 15",66989,J220="Lenovo IdeaPad Slim 3i",34690,J220="Mi NoteBook Ultra",57999,J220="Samsung Galaxy Go",36990,J220="Acer Aspire 3",38980)</f>
        <v>57999</v>
      </c>
      <c r="P220" t="s">
        <v>1029</v>
      </c>
    </row>
    <row r="221" spans="1:16" x14ac:dyDescent="0.25">
      <c r="A221">
        <v>20984</v>
      </c>
      <c r="B221" t="s">
        <v>169</v>
      </c>
      <c r="C221" t="s">
        <v>446</v>
      </c>
      <c r="D221" t="s">
        <v>1032</v>
      </c>
      <c r="E221" t="s">
        <v>1033</v>
      </c>
      <c r="F221" t="s">
        <v>1009</v>
      </c>
      <c r="G221" t="str">
        <f>UPPER(Table1[[#This Row],[State]])</f>
        <v>BIHAR</v>
      </c>
      <c r="H221" t="s">
        <v>1014</v>
      </c>
      <c r="I221" t="s">
        <v>447</v>
      </c>
      <c r="J221" t="s">
        <v>1025</v>
      </c>
      <c r="K221">
        <v>5298</v>
      </c>
      <c r="L221" s="1">
        <v>43863</v>
      </c>
      <c r="M221" s="1">
        <v>43865</v>
      </c>
      <c r="N221">
        <v>3</v>
      </c>
      <c r="O221" s="4" cm="1">
        <f t="array" ref="O221">_xlfn.IFS(J221="Dell Inspiron 15",66989,J221="Lenovo IdeaPad Slim 3i",34690,J221="Mi NoteBook Ultra",57999,J221="Samsung Galaxy Go",36990,J221="Acer Aspire 3",38980)</f>
        <v>36990</v>
      </c>
      <c r="P221" t="s">
        <v>1029</v>
      </c>
    </row>
    <row r="222" spans="1:16" x14ac:dyDescent="0.25">
      <c r="A222">
        <v>12617</v>
      </c>
      <c r="B222" t="s">
        <v>68</v>
      </c>
      <c r="C222" t="s">
        <v>151</v>
      </c>
      <c r="D222" t="s">
        <v>1032</v>
      </c>
      <c r="E222" t="s">
        <v>1035</v>
      </c>
      <c r="F222" t="s">
        <v>1011</v>
      </c>
      <c r="G222" t="str">
        <f>UPPER(Table1[[#This Row],[State]])</f>
        <v>GUJARAT</v>
      </c>
      <c r="H222" t="s">
        <v>1016</v>
      </c>
      <c r="I222" t="s">
        <v>448</v>
      </c>
      <c r="J222" t="s">
        <v>1026</v>
      </c>
      <c r="K222">
        <v>4828</v>
      </c>
      <c r="L222" s="1">
        <v>43863</v>
      </c>
      <c r="M222" s="1">
        <v>43865</v>
      </c>
      <c r="N222">
        <v>2</v>
      </c>
      <c r="O222" s="4" cm="1">
        <f t="array" ref="O222">_xlfn.IFS(J222="Dell Inspiron 15",66989,J222="Lenovo IdeaPad Slim 3i",34690,J222="Mi NoteBook Ultra",57999,J222="Samsung Galaxy Go",36990,J222="Acer Aspire 3",38980)</f>
        <v>38980</v>
      </c>
      <c r="P222" t="s">
        <v>1029</v>
      </c>
    </row>
    <row r="223" spans="1:16" x14ac:dyDescent="0.25">
      <c r="A223">
        <v>19301</v>
      </c>
      <c r="B223" t="s">
        <v>449</v>
      </c>
      <c r="C223" t="s">
        <v>324</v>
      </c>
      <c r="D223" t="s">
        <v>1032</v>
      </c>
      <c r="E223" t="s">
        <v>1035</v>
      </c>
      <c r="F223" t="s">
        <v>1011</v>
      </c>
      <c r="G223" t="str">
        <f>UPPER(Table1[[#This Row],[State]])</f>
        <v>GUJARAT</v>
      </c>
      <c r="H223" t="s">
        <v>1016</v>
      </c>
      <c r="I223" t="s">
        <v>450</v>
      </c>
      <c r="J223" t="s">
        <v>1022</v>
      </c>
      <c r="K223">
        <v>4914</v>
      </c>
      <c r="L223" s="1">
        <v>43905</v>
      </c>
      <c r="M223" s="1">
        <v>43905</v>
      </c>
      <c r="N223">
        <v>5</v>
      </c>
      <c r="O223" s="4" cm="1">
        <f t="array" ref="O223">_xlfn.IFS(J223="Dell Inspiron 15",66989,J223="Lenovo IdeaPad Slim 3i",34690,J223="Mi NoteBook Ultra",57999,J223="Samsung Galaxy Go",36990,J223="Acer Aspire 3",38980)</f>
        <v>66989</v>
      </c>
      <c r="P223" t="s">
        <v>1029</v>
      </c>
    </row>
    <row r="224" spans="1:16" x14ac:dyDescent="0.25">
      <c r="A224">
        <v>20845</v>
      </c>
      <c r="B224" t="s">
        <v>177</v>
      </c>
      <c r="C224" t="s">
        <v>384</v>
      </c>
      <c r="D224" t="s">
        <v>1032</v>
      </c>
      <c r="E224" t="s">
        <v>1036</v>
      </c>
      <c r="F224" t="s">
        <v>1012</v>
      </c>
      <c r="G224" t="str">
        <f>UPPER(Table1[[#This Row],[State]])</f>
        <v>DELHI</v>
      </c>
      <c r="H224" t="s">
        <v>1017</v>
      </c>
      <c r="I224" t="s">
        <v>451</v>
      </c>
      <c r="J224" t="s">
        <v>1024</v>
      </c>
      <c r="K224">
        <v>4803</v>
      </c>
      <c r="L224" s="1">
        <v>43863</v>
      </c>
      <c r="M224" s="1">
        <v>43864</v>
      </c>
      <c r="N224">
        <v>10</v>
      </c>
      <c r="O224" s="4" cm="1">
        <f t="array" ref="O224">_xlfn.IFS(J224="Dell Inspiron 15",66989,J224="Lenovo IdeaPad Slim 3i",34690,J224="Mi NoteBook Ultra",57999,J224="Samsung Galaxy Go",36990,J224="Acer Aspire 3",38980)</f>
        <v>57999</v>
      </c>
      <c r="P224" t="s">
        <v>1029</v>
      </c>
    </row>
    <row r="225" spans="1:16" x14ac:dyDescent="0.25">
      <c r="A225">
        <v>13529</v>
      </c>
      <c r="B225" t="s">
        <v>407</v>
      </c>
      <c r="C225" t="s">
        <v>183</v>
      </c>
      <c r="D225" t="s">
        <v>1032</v>
      </c>
      <c r="E225" t="s">
        <v>1033</v>
      </c>
      <c r="F225" t="s">
        <v>1009</v>
      </c>
      <c r="G225" t="str">
        <f>UPPER(Table1[[#This Row],[State]])</f>
        <v>BIHAR</v>
      </c>
      <c r="H225" t="s">
        <v>1014</v>
      </c>
      <c r="I225" t="s">
        <v>452</v>
      </c>
      <c r="J225" t="s">
        <v>1026</v>
      </c>
      <c r="K225">
        <v>5009</v>
      </c>
      <c r="L225" s="1">
        <v>43920</v>
      </c>
      <c r="M225" s="1">
        <v>43923</v>
      </c>
      <c r="N225">
        <v>10</v>
      </c>
      <c r="O225" s="4" cm="1">
        <f t="array" ref="O225">_xlfn.IFS(J225="Dell Inspiron 15",66989,J225="Lenovo IdeaPad Slim 3i",34690,J225="Mi NoteBook Ultra",57999,J225="Samsung Galaxy Go",36990,J225="Acer Aspire 3",38980)</f>
        <v>38980</v>
      </c>
      <c r="P225" t="s">
        <v>1029</v>
      </c>
    </row>
    <row r="226" spans="1:16" x14ac:dyDescent="0.25">
      <c r="A226">
        <v>19388</v>
      </c>
      <c r="B226" t="s">
        <v>453</v>
      </c>
      <c r="C226" t="s">
        <v>207</v>
      </c>
      <c r="D226" t="s">
        <v>1032</v>
      </c>
      <c r="E226" t="s">
        <v>1036</v>
      </c>
      <c r="F226" t="s">
        <v>1012</v>
      </c>
      <c r="G226" t="str">
        <f>UPPER(Table1[[#This Row],[State]])</f>
        <v>DELHI</v>
      </c>
      <c r="H226" t="s">
        <v>1017</v>
      </c>
      <c r="I226" t="s">
        <v>454</v>
      </c>
      <c r="J226" t="s">
        <v>1022</v>
      </c>
      <c r="K226">
        <v>5257</v>
      </c>
      <c r="L226" s="1">
        <v>43985</v>
      </c>
      <c r="M226" s="1">
        <v>43990</v>
      </c>
      <c r="N226">
        <v>3</v>
      </c>
      <c r="O226" s="4" cm="1">
        <f t="array" ref="O226">_xlfn.IFS(J226="Dell Inspiron 15",66989,J226="Lenovo IdeaPad Slim 3i",34690,J226="Mi NoteBook Ultra",57999,J226="Samsung Galaxy Go",36990,J226="Acer Aspire 3",38980)</f>
        <v>66989</v>
      </c>
      <c r="P226" t="s">
        <v>1029</v>
      </c>
    </row>
    <row r="227" spans="1:16" x14ac:dyDescent="0.25">
      <c r="A227">
        <v>18808</v>
      </c>
      <c r="B227" t="s">
        <v>94</v>
      </c>
      <c r="C227" t="s">
        <v>74</v>
      </c>
      <c r="D227" t="s">
        <v>1032</v>
      </c>
      <c r="E227" t="s">
        <v>1033</v>
      </c>
      <c r="F227" t="s">
        <v>1009</v>
      </c>
      <c r="G227" t="str">
        <f>UPPER(Table1[[#This Row],[State]])</f>
        <v>BIHAR</v>
      </c>
      <c r="H227" t="s">
        <v>1014</v>
      </c>
      <c r="I227" t="s">
        <v>455</v>
      </c>
      <c r="J227" t="s">
        <v>1023</v>
      </c>
      <c r="K227">
        <v>5326</v>
      </c>
      <c r="L227" s="1">
        <v>43912</v>
      </c>
      <c r="M227" s="1">
        <v>43913</v>
      </c>
      <c r="N227">
        <v>2</v>
      </c>
      <c r="O227" s="4" cm="1">
        <f t="array" ref="O227">_xlfn.IFS(J227="Dell Inspiron 15",66989,J227="Lenovo IdeaPad Slim 3i",34690,J227="Mi NoteBook Ultra",57999,J227="Samsung Galaxy Go",36990,J227="Acer Aspire 3",38980)</f>
        <v>34690</v>
      </c>
      <c r="P227" t="s">
        <v>1029</v>
      </c>
    </row>
    <row r="228" spans="1:16" x14ac:dyDescent="0.25">
      <c r="A228">
        <v>25278</v>
      </c>
      <c r="B228" t="s">
        <v>92</v>
      </c>
      <c r="C228" t="s">
        <v>214</v>
      </c>
      <c r="D228" t="s">
        <v>1032</v>
      </c>
      <c r="E228" t="s">
        <v>1034</v>
      </c>
      <c r="F228" t="s">
        <v>1010</v>
      </c>
      <c r="G228" t="str">
        <f>UPPER(Table1[[#This Row],[State]])</f>
        <v>PUDUCHERRY</v>
      </c>
      <c r="H228" t="s">
        <v>1015</v>
      </c>
      <c r="I228" t="s">
        <v>456</v>
      </c>
      <c r="J228" t="s">
        <v>1025</v>
      </c>
      <c r="K228">
        <v>5106</v>
      </c>
      <c r="L228" s="1">
        <v>43912</v>
      </c>
      <c r="M228" s="1">
        <v>43915</v>
      </c>
      <c r="N228">
        <v>9</v>
      </c>
      <c r="O228" s="4" cm="1">
        <f t="array" ref="O228">_xlfn.IFS(J228="Dell Inspiron 15",66989,J228="Lenovo IdeaPad Slim 3i",34690,J228="Mi NoteBook Ultra",57999,J228="Samsung Galaxy Go",36990,J228="Acer Aspire 3",38980)</f>
        <v>36990</v>
      </c>
      <c r="P228" t="s">
        <v>1029</v>
      </c>
    </row>
    <row r="229" spans="1:16" x14ac:dyDescent="0.25">
      <c r="A229">
        <v>19105</v>
      </c>
      <c r="B229" t="s">
        <v>434</v>
      </c>
      <c r="C229" t="s">
        <v>167</v>
      </c>
      <c r="D229" t="s">
        <v>1032</v>
      </c>
      <c r="E229" t="s">
        <v>1033</v>
      </c>
      <c r="F229" t="s">
        <v>1009</v>
      </c>
      <c r="G229" t="str">
        <f>UPPER(Table1[[#This Row],[State]])</f>
        <v>BIHAR</v>
      </c>
      <c r="H229" t="s">
        <v>1014</v>
      </c>
      <c r="I229" t="s">
        <v>457</v>
      </c>
      <c r="J229" t="s">
        <v>1022</v>
      </c>
      <c r="K229">
        <v>4554</v>
      </c>
      <c r="L229" s="1">
        <v>43968</v>
      </c>
      <c r="M229" s="1">
        <v>43969</v>
      </c>
      <c r="N229">
        <v>4</v>
      </c>
      <c r="O229" s="4" cm="1">
        <f t="array" ref="O229">_xlfn.IFS(J229="Dell Inspiron 15",66989,J229="Lenovo IdeaPad Slim 3i",34690,J229="Mi NoteBook Ultra",57999,J229="Samsung Galaxy Go",36990,J229="Acer Aspire 3",38980)</f>
        <v>66989</v>
      </c>
      <c r="P229" t="s">
        <v>1029</v>
      </c>
    </row>
    <row r="230" spans="1:16" x14ac:dyDescent="0.25">
      <c r="A230">
        <v>18503</v>
      </c>
      <c r="B230" t="s">
        <v>239</v>
      </c>
      <c r="C230" t="s">
        <v>217</v>
      </c>
      <c r="D230" t="s">
        <v>1032</v>
      </c>
      <c r="E230" t="s">
        <v>1035</v>
      </c>
      <c r="F230" t="s">
        <v>1011</v>
      </c>
      <c r="G230" t="str">
        <f>UPPER(Table1[[#This Row],[State]])</f>
        <v>GUJARAT</v>
      </c>
      <c r="H230" t="s">
        <v>1016</v>
      </c>
      <c r="I230" t="s">
        <v>458</v>
      </c>
      <c r="J230" t="s">
        <v>1026</v>
      </c>
      <c r="K230">
        <v>5373</v>
      </c>
      <c r="L230" s="1">
        <v>43879</v>
      </c>
      <c r="M230" s="1">
        <v>43881</v>
      </c>
      <c r="N230">
        <v>9</v>
      </c>
      <c r="O230" s="4" cm="1">
        <f t="array" ref="O230">_xlfn.IFS(J230="Dell Inspiron 15",66989,J230="Lenovo IdeaPad Slim 3i",34690,J230="Mi NoteBook Ultra",57999,J230="Samsung Galaxy Go",36990,J230="Acer Aspire 3",38980)</f>
        <v>38980</v>
      </c>
      <c r="P230" t="s">
        <v>1029</v>
      </c>
    </row>
    <row r="231" spans="1:16" x14ac:dyDescent="0.25">
      <c r="A231">
        <v>14291</v>
      </c>
      <c r="B231" t="s">
        <v>459</v>
      </c>
      <c r="C231" t="s">
        <v>165</v>
      </c>
      <c r="D231" t="s">
        <v>1032</v>
      </c>
      <c r="E231" t="s">
        <v>1033</v>
      </c>
      <c r="F231" t="s">
        <v>1009</v>
      </c>
      <c r="G231" t="str">
        <f>UPPER(Table1[[#This Row],[State]])</f>
        <v>BIHAR</v>
      </c>
      <c r="H231" t="s">
        <v>1014</v>
      </c>
      <c r="I231" t="s">
        <v>460</v>
      </c>
      <c r="J231" t="s">
        <v>1024</v>
      </c>
      <c r="K231">
        <v>4955</v>
      </c>
      <c r="L231" s="1">
        <v>43894</v>
      </c>
      <c r="M231" s="1">
        <v>43896</v>
      </c>
      <c r="N231">
        <v>8</v>
      </c>
      <c r="O231" s="4" cm="1">
        <f t="array" ref="O231">_xlfn.IFS(J231="Dell Inspiron 15",66989,J231="Lenovo IdeaPad Slim 3i",34690,J231="Mi NoteBook Ultra",57999,J231="Samsung Galaxy Go",36990,J231="Acer Aspire 3",38980)</f>
        <v>57999</v>
      </c>
      <c r="P231" t="s">
        <v>1029</v>
      </c>
    </row>
    <row r="232" spans="1:16" x14ac:dyDescent="0.25">
      <c r="A232">
        <v>14310</v>
      </c>
      <c r="B232" t="s">
        <v>31</v>
      </c>
      <c r="C232" t="s">
        <v>461</v>
      </c>
      <c r="D232" t="s">
        <v>1032</v>
      </c>
      <c r="E232" t="s">
        <v>1034</v>
      </c>
      <c r="F232" t="s">
        <v>1010</v>
      </c>
      <c r="G232" t="str">
        <f>UPPER(Table1[[#This Row],[State]])</f>
        <v>PUDUCHERRY</v>
      </c>
      <c r="H232" t="s">
        <v>1015</v>
      </c>
      <c r="I232" t="s">
        <v>462</v>
      </c>
      <c r="J232" t="s">
        <v>1025</v>
      </c>
      <c r="K232">
        <v>4945</v>
      </c>
      <c r="L232" s="1">
        <v>43968</v>
      </c>
      <c r="M232" s="1">
        <v>43970</v>
      </c>
      <c r="N232">
        <v>6</v>
      </c>
      <c r="O232" s="4" cm="1">
        <f t="array" ref="O232">_xlfn.IFS(J232="Dell Inspiron 15",66989,J232="Lenovo IdeaPad Slim 3i",34690,J232="Mi NoteBook Ultra",57999,J232="Samsung Galaxy Go",36990,J232="Acer Aspire 3",38980)</f>
        <v>36990</v>
      </c>
      <c r="P232" t="s">
        <v>1029</v>
      </c>
    </row>
    <row r="233" spans="1:16" x14ac:dyDescent="0.25">
      <c r="A233">
        <v>15266</v>
      </c>
      <c r="B233" t="s">
        <v>219</v>
      </c>
      <c r="C233" t="s">
        <v>101</v>
      </c>
      <c r="D233" t="s">
        <v>1032</v>
      </c>
      <c r="E233" t="s">
        <v>1033</v>
      </c>
      <c r="F233" t="s">
        <v>1009</v>
      </c>
      <c r="G233" t="str">
        <f>UPPER(Table1[[#This Row],[State]])</f>
        <v>BIHAR</v>
      </c>
      <c r="H233" t="s">
        <v>1014</v>
      </c>
      <c r="I233" t="s">
        <v>463</v>
      </c>
      <c r="J233" t="s">
        <v>1026</v>
      </c>
      <c r="K233">
        <v>4838</v>
      </c>
      <c r="L233" s="1">
        <v>43968</v>
      </c>
      <c r="M233" s="1">
        <v>43969</v>
      </c>
      <c r="N233">
        <v>5</v>
      </c>
      <c r="O233" s="4" cm="1">
        <f t="array" ref="O233">_xlfn.IFS(J233="Dell Inspiron 15",66989,J233="Lenovo IdeaPad Slim 3i",34690,J233="Mi NoteBook Ultra",57999,J233="Samsung Galaxy Go",36990,J233="Acer Aspire 3",38980)</f>
        <v>38980</v>
      </c>
      <c r="P233" t="s">
        <v>1029</v>
      </c>
    </row>
    <row r="234" spans="1:16" x14ac:dyDescent="0.25">
      <c r="A234">
        <v>18743</v>
      </c>
      <c r="B234" t="s">
        <v>464</v>
      </c>
      <c r="C234" t="s">
        <v>258</v>
      </c>
      <c r="D234" t="s">
        <v>1032</v>
      </c>
      <c r="E234" t="s">
        <v>1035</v>
      </c>
      <c r="F234" t="s">
        <v>1011</v>
      </c>
      <c r="G234" t="str">
        <f>UPPER(Table1[[#This Row],[State]])</f>
        <v>GUJARAT</v>
      </c>
      <c r="H234" t="s">
        <v>1016</v>
      </c>
      <c r="I234" t="s">
        <v>465</v>
      </c>
      <c r="J234" t="s">
        <v>1022</v>
      </c>
      <c r="K234">
        <v>4714</v>
      </c>
      <c r="L234" s="1">
        <v>43989</v>
      </c>
      <c r="M234" s="1">
        <v>43991</v>
      </c>
      <c r="N234">
        <v>6</v>
      </c>
      <c r="O234" s="4" cm="1">
        <f t="array" ref="O234">_xlfn.IFS(J234="Dell Inspiron 15",66989,J234="Lenovo IdeaPad Slim 3i",34690,J234="Mi NoteBook Ultra",57999,J234="Samsung Galaxy Go",36990,J234="Acer Aspire 3",38980)</f>
        <v>66989</v>
      </c>
      <c r="P234" t="s">
        <v>1029</v>
      </c>
    </row>
    <row r="235" spans="1:16" x14ac:dyDescent="0.25">
      <c r="A235">
        <v>13558</v>
      </c>
      <c r="B235" t="s">
        <v>204</v>
      </c>
      <c r="C235" t="s">
        <v>35</v>
      </c>
      <c r="D235" t="s">
        <v>1032</v>
      </c>
      <c r="E235" t="s">
        <v>1035</v>
      </c>
      <c r="F235" t="s">
        <v>1011</v>
      </c>
      <c r="G235" t="str">
        <f>UPPER(Table1[[#This Row],[State]])</f>
        <v>GUJARAT</v>
      </c>
      <c r="H235" t="s">
        <v>1016</v>
      </c>
      <c r="I235" t="s">
        <v>466</v>
      </c>
      <c r="J235" t="s">
        <v>1024</v>
      </c>
      <c r="K235">
        <v>4622</v>
      </c>
      <c r="L235" s="1">
        <v>43954</v>
      </c>
      <c r="M235" s="1">
        <v>43956</v>
      </c>
      <c r="N235">
        <v>4</v>
      </c>
      <c r="O235" s="4" cm="1">
        <f t="array" ref="O235">_xlfn.IFS(J235="Dell Inspiron 15",66989,J235="Lenovo IdeaPad Slim 3i",34690,J235="Mi NoteBook Ultra",57999,J235="Samsung Galaxy Go",36990,J235="Acer Aspire 3",38980)</f>
        <v>57999</v>
      </c>
      <c r="P235" t="s">
        <v>1029</v>
      </c>
    </row>
    <row r="236" spans="1:16" x14ac:dyDescent="0.25">
      <c r="A236">
        <v>17384</v>
      </c>
      <c r="B236" t="s">
        <v>100</v>
      </c>
      <c r="C236" t="s">
        <v>74</v>
      </c>
      <c r="D236" t="s">
        <v>1032</v>
      </c>
      <c r="E236" t="s">
        <v>1035</v>
      </c>
      <c r="F236" t="s">
        <v>1011</v>
      </c>
      <c r="G236" t="str">
        <f>UPPER(Table1[[#This Row],[State]])</f>
        <v>GUJARAT</v>
      </c>
      <c r="H236" t="s">
        <v>1016</v>
      </c>
      <c r="I236" t="s">
        <v>467</v>
      </c>
      <c r="J236" t="s">
        <v>1026</v>
      </c>
      <c r="K236">
        <v>4837</v>
      </c>
      <c r="L236" s="1">
        <v>43954</v>
      </c>
      <c r="M236" s="1">
        <v>43956</v>
      </c>
      <c r="N236">
        <v>3</v>
      </c>
      <c r="O236" s="4" cm="1">
        <f t="array" ref="O236">_xlfn.IFS(J236="Dell Inspiron 15",66989,J236="Lenovo IdeaPad Slim 3i",34690,J236="Mi NoteBook Ultra",57999,J236="Samsung Galaxy Go",36990,J236="Acer Aspire 3",38980)</f>
        <v>38980</v>
      </c>
      <c r="P236" t="s">
        <v>1029</v>
      </c>
    </row>
    <row r="237" spans="1:16" x14ac:dyDescent="0.25">
      <c r="A237">
        <v>17157</v>
      </c>
      <c r="B237" t="s">
        <v>34</v>
      </c>
      <c r="C237" t="s">
        <v>468</v>
      </c>
      <c r="D237" t="s">
        <v>1032</v>
      </c>
      <c r="E237" t="s">
        <v>1035</v>
      </c>
      <c r="F237" t="s">
        <v>1011</v>
      </c>
      <c r="G237" t="str">
        <f>UPPER(Table1[[#This Row],[State]])</f>
        <v>GUJARAT</v>
      </c>
      <c r="H237" t="s">
        <v>1016</v>
      </c>
      <c r="I237" t="s">
        <v>469</v>
      </c>
      <c r="J237" t="s">
        <v>1022</v>
      </c>
      <c r="K237">
        <v>4591</v>
      </c>
      <c r="L237" s="1">
        <v>43954</v>
      </c>
      <c r="M237" s="1">
        <v>43956</v>
      </c>
      <c r="N237">
        <v>8</v>
      </c>
      <c r="O237" s="4" cm="1">
        <f t="array" ref="O237">_xlfn.IFS(J237="Dell Inspiron 15",66989,J237="Lenovo IdeaPad Slim 3i",34690,J237="Mi NoteBook Ultra",57999,J237="Samsung Galaxy Go",36990,J237="Acer Aspire 3",38980)</f>
        <v>66989</v>
      </c>
      <c r="P237" t="s">
        <v>1029</v>
      </c>
    </row>
    <row r="238" spans="1:16" x14ac:dyDescent="0.25">
      <c r="A238">
        <v>24122</v>
      </c>
      <c r="B238" t="s">
        <v>59</v>
      </c>
      <c r="C238" t="s">
        <v>105</v>
      </c>
      <c r="D238" t="s">
        <v>1032</v>
      </c>
      <c r="E238" t="s">
        <v>1036</v>
      </c>
      <c r="F238" t="s">
        <v>1012</v>
      </c>
      <c r="G238" t="str">
        <f>UPPER(Table1[[#This Row],[State]])</f>
        <v>DELHI</v>
      </c>
      <c r="H238" t="s">
        <v>1017</v>
      </c>
      <c r="I238" t="s">
        <v>470</v>
      </c>
      <c r="J238" t="s">
        <v>1023</v>
      </c>
      <c r="K238">
        <v>5407</v>
      </c>
      <c r="L238" s="1">
        <v>43954</v>
      </c>
      <c r="M238" s="1">
        <v>43955</v>
      </c>
      <c r="N238">
        <v>8</v>
      </c>
      <c r="O238" s="4" cm="1">
        <f t="array" ref="O238">_xlfn.IFS(J238="Dell Inspiron 15",66989,J238="Lenovo IdeaPad Slim 3i",34690,J238="Mi NoteBook Ultra",57999,J238="Samsung Galaxy Go",36990,J238="Acer Aspire 3",38980)</f>
        <v>34690</v>
      </c>
      <c r="P238" t="s">
        <v>1029</v>
      </c>
    </row>
    <row r="239" spans="1:16" x14ac:dyDescent="0.25">
      <c r="A239">
        <v>15921</v>
      </c>
      <c r="B239" t="s">
        <v>245</v>
      </c>
      <c r="C239" t="s">
        <v>471</v>
      </c>
      <c r="D239" t="s">
        <v>1032</v>
      </c>
      <c r="E239" t="s">
        <v>1033</v>
      </c>
      <c r="F239" t="s">
        <v>1009</v>
      </c>
      <c r="G239" t="str">
        <f>UPPER(Table1[[#This Row],[State]])</f>
        <v>BIHAR</v>
      </c>
      <c r="H239" t="s">
        <v>1014</v>
      </c>
      <c r="I239" t="s">
        <v>472</v>
      </c>
      <c r="J239" t="s">
        <v>1022</v>
      </c>
      <c r="K239">
        <v>5412</v>
      </c>
      <c r="L239" s="1">
        <v>44004</v>
      </c>
      <c r="M239" s="1">
        <v>44006</v>
      </c>
      <c r="N239">
        <v>2</v>
      </c>
      <c r="O239" s="4" cm="1">
        <f t="array" ref="O239">_xlfn.IFS(J239="Dell Inspiron 15",66989,J239="Lenovo IdeaPad Slim 3i",34690,J239="Mi NoteBook Ultra",57999,J239="Samsung Galaxy Go",36990,J239="Acer Aspire 3",38980)</f>
        <v>66989</v>
      </c>
      <c r="P239" t="s">
        <v>1029</v>
      </c>
    </row>
    <row r="240" spans="1:16" x14ac:dyDescent="0.25">
      <c r="A240">
        <v>20003</v>
      </c>
      <c r="B240" t="s">
        <v>473</v>
      </c>
      <c r="C240" t="s">
        <v>474</v>
      </c>
      <c r="D240" t="s">
        <v>1032</v>
      </c>
      <c r="E240" t="s">
        <v>1034</v>
      </c>
      <c r="F240" t="s">
        <v>1010</v>
      </c>
      <c r="G240" t="str">
        <f>UPPER(Table1[[#This Row],[State]])</f>
        <v>PUDUCHERRY</v>
      </c>
      <c r="H240" t="s">
        <v>1015</v>
      </c>
      <c r="I240" t="s">
        <v>475</v>
      </c>
      <c r="J240" t="s">
        <v>1023</v>
      </c>
      <c r="K240">
        <v>5346</v>
      </c>
      <c r="L240" s="1">
        <v>43927</v>
      </c>
      <c r="M240" s="1">
        <v>43928</v>
      </c>
      <c r="N240">
        <v>1</v>
      </c>
      <c r="O240" s="4" cm="1">
        <f t="array" ref="O240">_xlfn.IFS(J240="Dell Inspiron 15",66989,J240="Lenovo IdeaPad Slim 3i",34690,J240="Mi NoteBook Ultra",57999,J240="Samsung Galaxy Go",36990,J240="Acer Aspire 3",38980)</f>
        <v>34690</v>
      </c>
      <c r="P240" t="s">
        <v>1029</v>
      </c>
    </row>
    <row r="241" spans="1:16" x14ac:dyDescent="0.25">
      <c r="A241">
        <v>12568</v>
      </c>
      <c r="B241" t="s">
        <v>476</v>
      </c>
      <c r="C241" t="s">
        <v>395</v>
      </c>
      <c r="D241" t="s">
        <v>1032</v>
      </c>
      <c r="E241" t="s">
        <v>1033</v>
      </c>
      <c r="F241" t="s">
        <v>1009</v>
      </c>
      <c r="G241" t="str">
        <f>UPPER(Table1[[#This Row],[State]])</f>
        <v>BIHAR</v>
      </c>
      <c r="H241">
        <v>123456</v>
      </c>
      <c r="I241" t="s">
        <v>477</v>
      </c>
      <c r="J241" t="s">
        <v>1024</v>
      </c>
      <c r="K241">
        <v>5124</v>
      </c>
      <c r="L241" s="1">
        <v>44004</v>
      </c>
      <c r="M241" s="1">
        <v>44006</v>
      </c>
      <c r="N241">
        <v>8</v>
      </c>
      <c r="O241" s="4" cm="1">
        <f t="array" ref="O241">_xlfn.IFS(J241="Dell Inspiron 15",66989,J241="Lenovo IdeaPad Slim 3i",34690,J241="Mi NoteBook Ultra",57999,J241="Samsung Galaxy Go",36990,J241="Acer Aspire 3",38980)</f>
        <v>57999</v>
      </c>
      <c r="P241" t="s">
        <v>1029</v>
      </c>
    </row>
    <row r="242" spans="1:16" x14ac:dyDescent="0.25">
      <c r="A242">
        <v>23389</v>
      </c>
      <c r="B242" t="s">
        <v>333</v>
      </c>
      <c r="C242" t="s">
        <v>199</v>
      </c>
      <c r="D242" t="s">
        <v>1032</v>
      </c>
      <c r="E242" t="s">
        <v>1035</v>
      </c>
      <c r="F242" t="s">
        <v>1011</v>
      </c>
      <c r="G242" t="str">
        <f>UPPER(Table1[[#This Row],[State]])</f>
        <v>GUJARAT</v>
      </c>
      <c r="H242" t="s">
        <v>1016</v>
      </c>
      <c r="I242" t="s">
        <v>478</v>
      </c>
      <c r="J242" t="s">
        <v>1025</v>
      </c>
      <c r="K242">
        <v>5436</v>
      </c>
      <c r="L242" s="1">
        <v>44004</v>
      </c>
      <c r="M242" s="1">
        <v>44005</v>
      </c>
      <c r="N242">
        <v>8</v>
      </c>
      <c r="O242" s="4" cm="1">
        <f t="array" ref="O242">_xlfn.IFS(J242="Dell Inspiron 15",66989,J242="Lenovo IdeaPad Slim 3i",34690,J242="Mi NoteBook Ultra",57999,J242="Samsung Galaxy Go",36990,J242="Acer Aspire 3",38980)</f>
        <v>36990</v>
      </c>
      <c r="P242" t="s">
        <v>1029</v>
      </c>
    </row>
    <row r="243" spans="1:16" x14ac:dyDescent="0.25">
      <c r="A243">
        <v>16937</v>
      </c>
      <c r="B243" t="s">
        <v>289</v>
      </c>
      <c r="C243" t="s">
        <v>479</v>
      </c>
      <c r="D243" t="s">
        <v>1032</v>
      </c>
      <c r="E243" t="s">
        <v>1035</v>
      </c>
      <c r="F243" t="s">
        <v>1011</v>
      </c>
      <c r="G243" t="str">
        <f>UPPER(Table1[[#This Row],[State]])</f>
        <v>GUJARAT</v>
      </c>
      <c r="H243" t="s">
        <v>1016</v>
      </c>
      <c r="I243" t="s">
        <v>480</v>
      </c>
      <c r="J243" t="s">
        <v>1026</v>
      </c>
      <c r="K243">
        <v>5496</v>
      </c>
      <c r="L243" s="1">
        <v>43927</v>
      </c>
      <c r="M243" s="1">
        <v>43928</v>
      </c>
      <c r="N243">
        <v>10</v>
      </c>
      <c r="O243" s="4" cm="1">
        <f t="array" ref="O243">_xlfn.IFS(J243="Dell Inspiron 15",66989,J243="Lenovo IdeaPad Slim 3i",34690,J243="Mi NoteBook Ultra",57999,J243="Samsung Galaxy Go",36990,J243="Acer Aspire 3",38980)</f>
        <v>38980</v>
      </c>
      <c r="P243" t="s">
        <v>1029</v>
      </c>
    </row>
    <row r="244" spans="1:16" x14ac:dyDescent="0.25">
      <c r="A244">
        <v>23302</v>
      </c>
      <c r="B244" t="s">
        <v>481</v>
      </c>
      <c r="C244" t="s">
        <v>173</v>
      </c>
      <c r="D244" t="s">
        <v>1032</v>
      </c>
      <c r="E244" t="s">
        <v>1036</v>
      </c>
      <c r="F244" t="s">
        <v>1012</v>
      </c>
      <c r="G244" t="str">
        <f>UPPER(Table1[[#This Row],[State]])</f>
        <v>DELHI</v>
      </c>
      <c r="H244" t="s">
        <v>1017</v>
      </c>
      <c r="I244" t="s">
        <v>482</v>
      </c>
      <c r="J244" t="s">
        <v>1022</v>
      </c>
      <c r="K244">
        <v>5307</v>
      </c>
      <c r="L244" s="1">
        <v>44004</v>
      </c>
      <c r="M244" s="1">
        <v>44005</v>
      </c>
      <c r="N244">
        <v>1</v>
      </c>
      <c r="O244" s="4" cm="1">
        <f t="array" ref="O244">_xlfn.IFS(J244="Dell Inspiron 15",66989,J244="Lenovo IdeaPad Slim 3i",34690,J244="Mi NoteBook Ultra",57999,J244="Samsung Galaxy Go",36990,J244="Acer Aspire 3",38980)</f>
        <v>66989</v>
      </c>
      <c r="P244" t="s">
        <v>1029</v>
      </c>
    </row>
    <row r="245" spans="1:16" x14ac:dyDescent="0.25">
      <c r="A245">
        <v>23310</v>
      </c>
      <c r="B245" t="s">
        <v>31</v>
      </c>
      <c r="C245" t="s">
        <v>483</v>
      </c>
      <c r="D245" t="s">
        <v>1032</v>
      </c>
      <c r="E245" t="s">
        <v>1033</v>
      </c>
      <c r="F245" t="s">
        <v>1009</v>
      </c>
      <c r="G245" t="str">
        <f>UPPER(Table1[[#This Row],[State]])</f>
        <v>BIHAR</v>
      </c>
      <c r="H245" t="s">
        <v>1014</v>
      </c>
      <c r="I245" t="s">
        <v>484</v>
      </c>
      <c r="J245" t="s">
        <v>1024</v>
      </c>
      <c r="K245">
        <v>5297</v>
      </c>
      <c r="L245" s="1">
        <v>43833</v>
      </c>
      <c r="M245" s="1">
        <v>43834</v>
      </c>
      <c r="N245">
        <v>4</v>
      </c>
      <c r="O245" s="4" cm="1">
        <f t="array" ref="O245">_xlfn.IFS(J245="Dell Inspiron 15",66989,J245="Lenovo IdeaPad Slim 3i",34690,J245="Mi NoteBook Ultra",57999,J245="Samsung Galaxy Go",36990,J245="Acer Aspire 3",38980)</f>
        <v>57999</v>
      </c>
      <c r="P245" t="s">
        <v>1029</v>
      </c>
    </row>
    <row r="246" spans="1:16" x14ac:dyDescent="0.25">
      <c r="A246">
        <v>25467</v>
      </c>
      <c r="B246" t="s">
        <v>202</v>
      </c>
      <c r="C246" t="s">
        <v>29</v>
      </c>
      <c r="D246" t="s">
        <v>1032</v>
      </c>
      <c r="E246" t="s">
        <v>1034</v>
      </c>
      <c r="F246" t="s">
        <v>1010</v>
      </c>
      <c r="G246" t="str">
        <f>UPPER(Table1[[#This Row],[State]])</f>
        <v>PUDUCHERRY</v>
      </c>
      <c r="H246" t="s">
        <v>1015</v>
      </c>
      <c r="I246" t="s">
        <v>485</v>
      </c>
      <c r="J246" t="s">
        <v>1026</v>
      </c>
      <c r="K246">
        <v>4723</v>
      </c>
      <c r="L246" s="1">
        <v>43925</v>
      </c>
      <c r="M246" s="1">
        <v>43927</v>
      </c>
      <c r="N246">
        <v>1</v>
      </c>
      <c r="O246" s="4" cm="1">
        <f t="array" ref="O246">_xlfn.IFS(J246="Dell Inspiron 15",66989,J246="Lenovo IdeaPad Slim 3i",34690,J246="Mi NoteBook Ultra",57999,J246="Samsung Galaxy Go",36990,J246="Acer Aspire 3",38980)</f>
        <v>38980</v>
      </c>
      <c r="P246" t="s">
        <v>1029</v>
      </c>
    </row>
    <row r="247" spans="1:16" x14ac:dyDescent="0.25">
      <c r="A247">
        <v>21592</v>
      </c>
      <c r="B247" t="s">
        <v>372</v>
      </c>
      <c r="C247" t="s">
        <v>486</v>
      </c>
      <c r="D247" t="s">
        <v>1032</v>
      </c>
      <c r="E247" t="s">
        <v>1033</v>
      </c>
      <c r="F247" t="s">
        <v>1009</v>
      </c>
      <c r="G247" t="str">
        <f>UPPER(Table1[[#This Row],[State]])</f>
        <v>BIHAR</v>
      </c>
      <c r="H247" t="s">
        <v>1014</v>
      </c>
      <c r="I247" t="s">
        <v>487</v>
      </c>
      <c r="J247" t="s">
        <v>1022</v>
      </c>
      <c r="K247">
        <v>5360</v>
      </c>
      <c r="L247" s="1">
        <v>43925</v>
      </c>
      <c r="M247" s="1">
        <v>43927</v>
      </c>
      <c r="N247">
        <v>2</v>
      </c>
      <c r="O247" s="4" cm="1">
        <f t="array" ref="O247">_xlfn.IFS(J247="Dell Inspiron 15",66989,J247="Lenovo IdeaPad Slim 3i",34690,J247="Mi NoteBook Ultra",57999,J247="Samsung Galaxy Go",36990,J247="Acer Aspire 3",38980)</f>
        <v>66989</v>
      </c>
      <c r="P247" t="s">
        <v>1029</v>
      </c>
    </row>
    <row r="248" spans="1:16" x14ac:dyDescent="0.25">
      <c r="A248">
        <v>19207</v>
      </c>
      <c r="B248" t="s">
        <v>292</v>
      </c>
      <c r="C248" t="s">
        <v>488</v>
      </c>
      <c r="D248" t="s">
        <v>1032</v>
      </c>
      <c r="E248" t="s">
        <v>1035</v>
      </c>
      <c r="F248" t="s">
        <v>1011</v>
      </c>
      <c r="G248" t="str">
        <f>UPPER(Table1[[#This Row],[State]])</f>
        <v>GUJARAT</v>
      </c>
      <c r="H248" t="s">
        <v>1016</v>
      </c>
      <c r="I248" t="s">
        <v>489</v>
      </c>
      <c r="J248" t="s">
        <v>1023</v>
      </c>
      <c r="K248">
        <v>5055</v>
      </c>
      <c r="L248" s="1">
        <v>43930</v>
      </c>
      <c r="M248" s="1">
        <v>43932</v>
      </c>
      <c r="N248">
        <v>1</v>
      </c>
      <c r="O248" s="4" cm="1">
        <f t="array" ref="O248">_xlfn.IFS(J248="Dell Inspiron 15",66989,J248="Lenovo IdeaPad Slim 3i",34690,J248="Mi NoteBook Ultra",57999,J248="Samsung Galaxy Go",36990,J248="Acer Aspire 3",38980)</f>
        <v>34690</v>
      </c>
      <c r="P248" t="s">
        <v>1029</v>
      </c>
    </row>
    <row r="249" spans="1:16" x14ac:dyDescent="0.25">
      <c r="A249">
        <v>14591</v>
      </c>
      <c r="B249" t="s">
        <v>235</v>
      </c>
      <c r="C249" t="s">
        <v>161</v>
      </c>
      <c r="D249" t="s">
        <v>1032</v>
      </c>
      <c r="E249" t="s">
        <v>1035</v>
      </c>
      <c r="F249" t="s">
        <v>1011</v>
      </c>
      <c r="G249" t="str">
        <f>UPPER(Table1[[#This Row],[State]])</f>
        <v>GUJARAT</v>
      </c>
      <c r="H249" t="s">
        <v>1016</v>
      </c>
      <c r="I249" t="s">
        <v>490</v>
      </c>
      <c r="J249" t="s">
        <v>1025</v>
      </c>
      <c r="K249">
        <v>5136</v>
      </c>
      <c r="L249" s="1">
        <v>43833</v>
      </c>
      <c r="M249" s="1">
        <v>43834</v>
      </c>
      <c r="N249">
        <v>3</v>
      </c>
      <c r="O249" s="4" cm="1">
        <f t="array" ref="O249">_xlfn.IFS(J249="Dell Inspiron 15",66989,J249="Lenovo IdeaPad Slim 3i",34690,J249="Mi NoteBook Ultra",57999,J249="Samsung Galaxy Go",36990,J249="Acer Aspire 3",38980)</f>
        <v>36990</v>
      </c>
      <c r="P249" t="s">
        <v>1029</v>
      </c>
    </row>
    <row r="250" spans="1:16" x14ac:dyDescent="0.25">
      <c r="A250">
        <v>24580</v>
      </c>
      <c r="B250" t="s">
        <v>155</v>
      </c>
      <c r="C250" t="s">
        <v>29</v>
      </c>
      <c r="D250" t="s">
        <v>1032</v>
      </c>
      <c r="E250" t="s">
        <v>1035</v>
      </c>
      <c r="F250" t="s">
        <v>1011</v>
      </c>
      <c r="G250" t="str">
        <f>UPPER(Table1[[#This Row],[State]])</f>
        <v>GUJARAT</v>
      </c>
      <c r="H250" t="s">
        <v>1016</v>
      </c>
      <c r="I250" t="s">
        <v>491</v>
      </c>
      <c r="J250" t="s">
        <v>1022</v>
      </c>
      <c r="K250">
        <v>4543</v>
      </c>
      <c r="L250" s="1">
        <v>43925</v>
      </c>
      <c r="M250" s="1">
        <v>43927</v>
      </c>
      <c r="N250">
        <v>3</v>
      </c>
      <c r="O250" s="4" cm="1">
        <f t="array" ref="O250">_xlfn.IFS(J250="Dell Inspiron 15",66989,J250="Lenovo IdeaPad Slim 3i",34690,J250="Mi NoteBook Ultra",57999,J250="Samsung Galaxy Go",36990,J250="Acer Aspire 3",38980)</f>
        <v>66989</v>
      </c>
      <c r="P250" t="s">
        <v>1029</v>
      </c>
    </row>
    <row r="251" spans="1:16" x14ac:dyDescent="0.25">
      <c r="A251">
        <v>24473</v>
      </c>
      <c r="B251" t="s">
        <v>185</v>
      </c>
      <c r="C251" t="s">
        <v>69</v>
      </c>
      <c r="D251" t="s">
        <v>1032</v>
      </c>
      <c r="E251" t="s">
        <v>1036</v>
      </c>
      <c r="F251" t="s">
        <v>1012</v>
      </c>
      <c r="G251" t="str">
        <f>UPPER(Table1[[#This Row],[State]])</f>
        <v>DELHI</v>
      </c>
      <c r="H251" t="s">
        <v>1017</v>
      </c>
      <c r="I251" t="s">
        <v>492</v>
      </c>
      <c r="J251" t="s">
        <v>1026</v>
      </c>
      <c r="K251">
        <v>5138</v>
      </c>
      <c r="L251" s="1">
        <v>43925</v>
      </c>
      <c r="M251" s="1">
        <v>43927</v>
      </c>
      <c r="N251">
        <v>6</v>
      </c>
      <c r="O251" s="4" cm="1">
        <f t="array" ref="O251">_xlfn.IFS(J251="Dell Inspiron 15",66989,J251="Lenovo IdeaPad Slim 3i",34690,J251="Mi NoteBook Ultra",57999,J251="Samsung Galaxy Go",36990,J251="Acer Aspire 3",38980)</f>
        <v>38980</v>
      </c>
      <c r="P251" t="s">
        <v>1029</v>
      </c>
    </row>
    <row r="252" spans="1:16" x14ac:dyDescent="0.25">
      <c r="A252">
        <v>25217</v>
      </c>
      <c r="B252" t="s">
        <v>219</v>
      </c>
      <c r="C252" t="s">
        <v>493</v>
      </c>
      <c r="D252" t="s">
        <v>1032</v>
      </c>
      <c r="E252" t="s">
        <v>1035</v>
      </c>
      <c r="F252" t="s">
        <v>1011</v>
      </c>
      <c r="G252" t="str">
        <f>UPPER(Table1[[#This Row],[State]])</f>
        <v>GUJARAT</v>
      </c>
      <c r="H252" t="s">
        <v>1016</v>
      </c>
      <c r="I252" t="s">
        <v>494</v>
      </c>
      <c r="J252" t="s">
        <v>1024</v>
      </c>
      <c r="K252">
        <v>5033</v>
      </c>
      <c r="L252" s="1">
        <v>43930</v>
      </c>
      <c r="M252" s="1">
        <v>43932</v>
      </c>
      <c r="N252">
        <v>2</v>
      </c>
      <c r="O252" s="4" cm="1">
        <f t="array" ref="O252">_xlfn.IFS(J252="Dell Inspiron 15",66989,J252="Lenovo IdeaPad Slim 3i",34690,J252="Mi NoteBook Ultra",57999,J252="Samsung Galaxy Go",36990,J252="Acer Aspire 3",38980)</f>
        <v>57999</v>
      </c>
      <c r="P252" t="s">
        <v>1029</v>
      </c>
    </row>
    <row r="253" spans="1:16" x14ac:dyDescent="0.25">
      <c r="A253">
        <v>18415</v>
      </c>
      <c r="B253" t="s">
        <v>115</v>
      </c>
      <c r="C253" t="s">
        <v>224</v>
      </c>
      <c r="D253" t="s">
        <v>1032</v>
      </c>
      <c r="E253" t="s">
        <v>1035</v>
      </c>
      <c r="F253" t="s">
        <v>1011</v>
      </c>
      <c r="G253" t="str">
        <f>UPPER(Table1[[#This Row],[State]])</f>
        <v>GUJARAT</v>
      </c>
      <c r="H253" t="s">
        <v>1016</v>
      </c>
      <c r="I253" t="s">
        <v>495</v>
      </c>
      <c r="J253" t="s">
        <v>1025</v>
      </c>
      <c r="K253">
        <v>4845</v>
      </c>
      <c r="L253" s="1">
        <v>43842</v>
      </c>
      <c r="M253" s="1">
        <v>43843</v>
      </c>
      <c r="N253">
        <v>1</v>
      </c>
      <c r="O253" s="4" cm="1">
        <f t="array" ref="O253">_xlfn.IFS(J253="Dell Inspiron 15",66989,J253="Lenovo IdeaPad Slim 3i",34690,J253="Mi NoteBook Ultra",57999,J253="Samsung Galaxy Go",36990,J253="Acer Aspire 3",38980)</f>
        <v>36990</v>
      </c>
      <c r="P253" t="s">
        <v>1029</v>
      </c>
    </row>
    <row r="254" spans="1:16" x14ac:dyDescent="0.25">
      <c r="A254">
        <v>18829</v>
      </c>
      <c r="B254" t="s">
        <v>73</v>
      </c>
      <c r="C254" t="s">
        <v>302</v>
      </c>
      <c r="D254" t="s">
        <v>1032</v>
      </c>
      <c r="E254" t="s">
        <v>1036</v>
      </c>
      <c r="F254" t="s">
        <v>1012</v>
      </c>
      <c r="G254" t="str">
        <f>UPPER(Table1[[#This Row],[State]])</f>
        <v>DELHI</v>
      </c>
      <c r="H254" t="s">
        <v>1017</v>
      </c>
      <c r="I254" t="s">
        <v>496</v>
      </c>
      <c r="J254" t="s">
        <v>1026</v>
      </c>
      <c r="K254">
        <v>5039</v>
      </c>
      <c r="L254" s="1">
        <v>43842</v>
      </c>
      <c r="M254" s="1">
        <v>43844</v>
      </c>
      <c r="N254">
        <v>4</v>
      </c>
      <c r="O254" s="4" cm="1">
        <f t="array" ref="O254">_xlfn.IFS(J254="Dell Inspiron 15",66989,J254="Lenovo IdeaPad Slim 3i",34690,J254="Mi NoteBook Ultra",57999,J254="Samsung Galaxy Go",36990,J254="Acer Aspire 3",38980)</f>
        <v>38980</v>
      </c>
      <c r="P254" t="s">
        <v>1029</v>
      </c>
    </row>
    <row r="255" spans="1:16" x14ac:dyDescent="0.25">
      <c r="A255">
        <v>15311</v>
      </c>
      <c r="B255" t="s">
        <v>391</v>
      </c>
      <c r="C255" t="s">
        <v>110</v>
      </c>
      <c r="D255" t="s">
        <v>1032</v>
      </c>
      <c r="E255" t="s">
        <v>1036</v>
      </c>
      <c r="F255" t="s">
        <v>1012</v>
      </c>
      <c r="G255" t="str">
        <f>UPPER(Table1[[#This Row],[State]])</f>
        <v>DELHI</v>
      </c>
      <c r="H255" t="s">
        <v>1017</v>
      </c>
      <c r="I255" t="s">
        <v>497</v>
      </c>
      <c r="J255" t="s">
        <v>1022</v>
      </c>
      <c r="K255">
        <v>5441</v>
      </c>
      <c r="L255" s="1">
        <v>43930</v>
      </c>
      <c r="M255" s="1">
        <v>43931</v>
      </c>
      <c r="N255">
        <v>3</v>
      </c>
      <c r="O255" s="4" cm="1">
        <f t="array" ref="O255">_xlfn.IFS(J255="Dell Inspiron 15",66989,J255="Lenovo IdeaPad Slim 3i",34690,J255="Mi NoteBook Ultra",57999,J255="Samsung Galaxy Go",36990,J255="Acer Aspire 3",38980)</f>
        <v>66989</v>
      </c>
      <c r="P255" t="s">
        <v>1029</v>
      </c>
    </row>
    <row r="256" spans="1:16" x14ac:dyDescent="0.25">
      <c r="A256">
        <v>22818</v>
      </c>
      <c r="B256" t="s">
        <v>46</v>
      </c>
      <c r="C256" t="s">
        <v>207</v>
      </c>
      <c r="D256" t="s">
        <v>1032</v>
      </c>
      <c r="E256" t="s">
        <v>1033</v>
      </c>
      <c r="F256" t="s">
        <v>1009</v>
      </c>
      <c r="G256" t="str">
        <f>UPPER(Table1[[#This Row],[State]])</f>
        <v>BIHAR</v>
      </c>
      <c r="H256" t="s">
        <v>1014</v>
      </c>
      <c r="I256" t="s">
        <v>498</v>
      </c>
      <c r="J256" t="s">
        <v>1024</v>
      </c>
      <c r="K256">
        <v>4535</v>
      </c>
      <c r="L256" s="1">
        <v>43857</v>
      </c>
      <c r="M256" s="1">
        <v>43858</v>
      </c>
      <c r="N256">
        <v>5</v>
      </c>
      <c r="O256" s="4" cm="1">
        <f t="array" ref="O256">_xlfn.IFS(J256="Dell Inspiron 15",66989,J256="Lenovo IdeaPad Slim 3i",34690,J256="Mi NoteBook Ultra",57999,J256="Samsung Galaxy Go",36990,J256="Acer Aspire 3",38980)</f>
        <v>57999</v>
      </c>
      <c r="P256" t="s">
        <v>1029</v>
      </c>
    </row>
    <row r="257" spans="1:16" x14ac:dyDescent="0.25">
      <c r="A257">
        <v>19406</v>
      </c>
      <c r="B257" t="s">
        <v>313</v>
      </c>
      <c r="C257" t="s">
        <v>98</v>
      </c>
      <c r="D257" t="s">
        <v>1032</v>
      </c>
      <c r="E257" t="s">
        <v>1034</v>
      </c>
      <c r="F257" t="s">
        <v>1010</v>
      </c>
      <c r="G257" t="str">
        <f>UPPER(Table1[[#This Row],[State]])</f>
        <v>PUDUCHERRY</v>
      </c>
      <c r="H257" t="s">
        <v>1015</v>
      </c>
      <c r="I257" t="s">
        <v>499</v>
      </c>
      <c r="J257" t="s">
        <v>1026</v>
      </c>
      <c r="K257">
        <v>5241</v>
      </c>
      <c r="L257" s="1">
        <v>43976</v>
      </c>
      <c r="M257" s="1">
        <v>43977</v>
      </c>
      <c r="N257">
        <v>6</v>
      </c>
      <c r="O257" s="4" cm="1">
        <f t="array" ref="O257">_xlfn.IFS(J257="Dell Inspiron 15",66989,J257="Lenovo IdeaPad Slim 3i",34690,J257="Mi NoteBook Ultra",57999,J257="Samsung Galaxy Go",36990,J257="Acer Aspire 3",38980)</f>
        <v>38980</v>
      </c>
      <c r="P257" t="s">
        <v>1029</v>
      </c>
    </row>
    <row r="258" spans="1:16" x14ac:dyDescent="0.25">
      <c r="A258">
        <v>15789</v>
      </c>
      <c r="B258" t="s">
        <v>326</v>
      </c>
      <c r="C258" t="s">
        <v>183</v>
      </c>
      <c r="D258" t="s">
        <v>1032</v>
      </c>
      <c r="E258" t="s">
        <v>1033</v>
      </c>
      <c r="F258" t="s">
        <v>1009</v>
      </c>
      <c r="G258" t="str">
        <f>UPPER(Table1[[#This Row],[State]])</f>
        <v>BIHAR</v>
      </c>
      <c r="H258" t="s">
        <v>1014</v>
      </c>
      <c r="I258" t="s">
        <v>500</v>
      </c>
      <c r="J258" t="s">
        <v>1022</v>
      </c>
      <c r="K258">
        <v>4852</v>
      </c>
      <c r="L258" s="1">
        <v>43967</v>
      </c>
      <c r="M258" s="1">
        <v>43968</v>
      </c>
      <c r="N258">
        <v>6</v>
      </c>
      <c r="O258" s="4" cm="1">
        <f t="array" ref="O258">_xlfn.IFS(J258="Dell Inspiron 15",66989,J258="Lenovo IdeaPad Slim 3i",34690,J258="Mi NoteBook Ultra",57999,J258="Samsung Galaxy Go",36990,J258="Acer Aspire 3",38980)</f>
        <v>66989</v>
      </c>
      <c r="P258" t="s">
        <v>1029</v>
      </c>
    </row>
    <row r="259" spans="1:16" x14ac:dyDescent="0.25">
      <c r="A259">
        <v>22207</v>
      </c>
      <c r="B259" t="s">
        <v>464</v>
      </c>
      <c r="C259" t="s">
        <v>486</v>
      </c>
      <c r="D259" t="s">
        <v>1032</v>
      </c>
      <c r="E259" t="s">
        <v>1035</v>
      </c>
      <c r="F259" t="s">
        <v>1011</v>
      </c>
      <c r="G259" t="str">
        <f>UPPER(Table1[[#This Row],[State]])</f>
        <v>GUJARAT</v>
      </c>
      <c r="H259" t="s">
        <v>1016</v>
      </c>
      <c r="I259" t="s">
        <v>501</v>
      </c>
      <c r="J259" t="s">
        <v>1023</v>
      </c>
      <c r="K259">
        <v>5452</v>
      </c>
      <c r="L259" s="1">
        <v>43967</v>
      </c>
      <c r="M259" s="1">
        <v>43968</v>
      </c>
      <c r="N259">
        <v>10</v>
      </c>
      <c r="O259" s="4" cm="1">
        <f t="array" ref="O259">_xlfn.IFS(J259="Dell Inspiron 15",66989,J259="Lenovo IdeaPad Slim 3i",34690,J259="Mi NoteBook Ultra",57999,J259="Samsung Galaxy Go",36990,J259="Acer Aspire 3",38980)</f>
        <v>34690</v>
      </c>
      <c r="P259" t="s">
        <v>1029</v>
      </c>
    </row>
    <row r="260" spans="1:16" x14ac:dyDescent="0.25">
      <c r="A260">
        <v>18711</v>
      </c>
      <c r="B260" t="s">
        <v>138</v>
      </c>
      <c r="C260" t="s">
        <v>183</v>
      </c>
      <c r="D260" t="s">
        <v>1032</v>
      </c>
      <c r="E260" t="s">
        <v>1035</v>
      </c>
      <c r="F260" t="s">
        <v>1011</v>
      </c>
      <c r="G260" t="str">
        <f>UPPER(Table1[[#This Row],[State]])</f>
        <v>GUJARAT</v>
      </c>
      <c r="H260" t="s">
        <v>1016</v>
      </c>
      <c r="I260" t="s">
        <v>502</v>
      </c>
      <c r="J260" t="s">
        <v>1024</v>
      </c>
      <c r="K260">
        <v>5052</v>
      </c>
      <c r="L260" s="1">
        <v>43984</v>
      </c>
      <c r="M260" s="1">
        <v>43985</v>
      </c>
      <c r="N260">
        <v>3</v>
      </c>
      <c r="O260" s="4" cm="1">
        <f t="array" ref="O260">_xlfn.IFS(J260="Dell Inspiron 15",66989,J260="Lenovo IdeaPad Slim 3i",34690,J260="Mi NoteBook Ultra",57999,J260="Samsung Galaxy Go",36990,J260="Acer Aspire 3",38980)</f>
        <v>57999</v>
      </c>
      <c r="P260" t="s">
        <v>1029</v>
      </c>
    </row>
    <row r="261" spans="1:16" x14ac:dyDescent="0.25">
      <c r="A261">
        <v>14465</v>
      </c>
      <c r="B261" t="s">
        <v>47</v>
      </c>
      <c r="C261" t="s">
        <v>255</v>
      </c>
      <c r="D261" t="s">
        <v>1032</v>
      </c>
      <c r="E261" t="s">
        <v>1036</v>
      </c>
      <c r="F261" t="s">
        <v>1012</v>
      </c>
      <c r="G261" t="str">
        <f>UPPER(Table1[[#This Row],[State]])</f>
        <v>DELHI</v>
      </c>
      <c r="H261" t="s">
        <v>1017</v>
      </c>
      <c r="I261" t="s">
        <v>503</v>
      </c>
      <c r="J261" t="s">
        <v>1025</v>
      </c>
      <c r="K261">
        <v>4691</v>
      </c>
      <c r="L261" s="1">
        <v>43984</v>
      </c>
      <c r="M261" s="1">
        <v>43985</v>
      </c>
      <c r="N261">
        <v>3</v>
      </c>
      <c r="O261" s="4" cm="1">
        <f t="array" ref="O261">_xlfn.IFS(J261="Dell Inspiron 15",66989,J261="Lenovo IdeaPad Slim 3i",34690,J261="Mi NoteBook Ultra",57999,J261="Samsung Galaxy Go",36990,J261="Acer Aspire 3",38980)</f>
        <v>36990</v>
      </c>
      <c r="P261" t="s">
        <v>1029</v>
      </c>
    </row>
    <row r="262" spans="1:16" x14ac:dyDescent="0.25">
      <c r="A262">
        <v>17872</v>
      </c>
      <c r="B262" t="s">
        <v>326</v>
      </c>
      <c r="C262" t="s">
        <v>85</v>
      </c>
      <c r="D262" t="s">
        <v>1032</v>
      </c>
      <c r="E262" t="s">
        <v>1033</v>
      </c>
      <c r="F262" t="s">
        <v>1009</v>
      </c>
      <c r="G262" t="str">
        <f>UPPER(Table1[[#This Row],[State]])</f>
        <v>BIHAR</v>
      </c>
      <c r="H262" t="s">
        <v>1014</v>
      </c>
      <c r="I262" t="s">
        <v>504</v>
      </c>
      <c r="J262" t="s">
        <v>1026</v>
      </c>
      <c r="K262">
        <v>5466</v>
      </c>
      <c r="L262" s="1">
        <v>43845</v>
      </c>
      <c r="M262" s="1">
        <v>43847</v>
      </c>
      <c r="N262">
        <v>6</v>
      </c>
      <c r="O262" s="4" cm="1">
        <f t="array" ref="O262">_xlfn.IFS(J262="Dell Inspiron 15",66989,J262="Lenovo IdeaPad Slim 3i",34690,J262="Mi NoteBook Ultra",57999,J262="Samsung Galaxy Go",36990,J262="Acer Aspire 3",38980)</f>
        <v>38980</v>
      </c>
      <c r="P262" t="s">
        <v>1029</v>
      </c>
    </row>
    <row r="263" spans="1:16" x14ac:dyDescent="0.25">
      <c r="A263">
        <v>23215</v>
      </c>
      <c r="B263" t="s">
        <v>449</v>
      </c>
      <c r="C263" t="s">
        <v>368</v>
      </c>
      <c r="D263" t="s">
        <v>1032</v>
      </c>
      <c r="E263" t="s">
        <v>1035</v>
      </c>
      <c r="F263" t="s">
        <v>1011</v>
      </c>
      <c r="G263" t="str">
        <f>UPPER(Table1[[#This Row],[State]])</f>
        <v>GUJARAT</v>
      </c>
      <c r="H263" t="s">
        <v>1016</v>
      </c>
      <c r="I263" t="s">
        <v>505</v>
      </c>
      <c r="J263" t="s">
        <v>1022</v>
      </c>
      <c r="K263">
        <v>5467</v>
      </c>
      <c r="L263" s="1">
        <v>43906</v>
      </c>
      <c r="M263" s="1">
        <v>43906</v>
      </c>
      <c r="N263">
        <v>3</v>
      </c>
      <c r="O263" s="4" cm="1">
        <f t="array" ref="O263">_xlfn.IFS(J263="Dell Inspiron 15",66989,J263="Lenovo IdeaPad Slim 3i",34690,J263="Mi NoteBook Ultra",57999,J263="Samsung Galaxy Go",36990,J263="Acer Aspire 3",38980)</f>
        <v>66989</v>
      </c>
      <c r="P263" t="s">
        <v>1029</v>
      </c>
    </row>
    <row r="264" spans="1:16" x14ac:dyDescent="0.25">
      <c r="A264">
        <v>13172</v>
      </c>
      <c r="B264" t="s">
        <v>153</v>
      </c>
      <c r="C264" t="s">
        <v>374</v>
      </c>
      <c r="D264" t="s">
        <v>1032</v>
      </c>
      <c r="E264" t="s">
        <v>1036</v>
      </c>
      <c r="F264" t="s">
        <v>1012</v>
      </c>
      <c r="G264" t="str">
        <f>UPPER(Table1[[#This Row],[State]])</f>
        <v>DELHI</v>
      </c>
      <c r="H264" t="s">
        <v>1017</v>
      </c>
      <c r="I264" t="s">
        <v>506</v>
      </c>
      <c r="J264" t="s">
        <v>1024</v>
      </c>
      <c r="K264">
        <v>5119</v>
      </c>
      <c r="L264" s="1">
        <v>43902</v>
      </c>
      <c r="M264" s="1">
        <v>43903</v>
      </c>
      <c r="N264">
        <v>2</v>
      </c>
      <c r="O264" s="4" cm="1">
        <f t="array" ref="O264">_xlfn.IFS(J264="Dell Inspiron 15",66989,J264="Lenovo IdeaPad Slim 3i",34690,J264="Mi NoteBook Ultra",57999,J264="Samsung Galaxy Go",36990,J264="Acer Aspire 3",38980)</f>
        <v>57999</v>
      </c>
      <c r="P264" t="s">
        <v>1029</v>
      </c>
    </row>
    <row r="265" spans="1:16" x14ac:dyDescent="0.25">
      <c r="A265">
        <v>24542</v>
      </c>
      <c r="B265" t="s">
        <v>507</v>
      </c>
      <c r="C265" t="s">
        <v>508</v>
      </c>
      <c r="D265" t="s">
        <v>1032</v>
      </c>
      <c r="E265" t="s">
        <v>1033</v>
      </c>
      <c r="F265" t="s">
        <v>1009</v>
      </c>
      <c r="G265" t="str">
        <f>UPPER(Table1[[#This Row],[State]])</f>
        <v>BIHAR</v>
      </c>
      <c r="H265" t="s">
        <v>1014</v>
      </c>
      <c r="I265" t="s">
        <v>509</v>
      </c>
      <c r="J265" t="s">
        <v>1025</v>
      </c>
      <c r="K265">
        <v>4969</v>
      </c>
      <c r="L265" s="1">
        <v>43944</v>
      </c>
      <c r="M265" s="1">
        <v>43945</v>
      </c>
      <c r="N265">
        <v>10</v>
      </c>
      <c r="O265" s="4" cm="1">
        <f t="array" ref="O265">_xlfn.IFS(J265="Dell Inspiron 15",66989,J265="Lenovo IdeaPad Slim 3i",34690,J265="Mi NoteBook Ultra",57999,J265="Samsung Galaxy Go",36990,J265="Acer Aspire 3",38980)</f>
        <v>36990</v>
      </c>
      <c r="P265" t="s">
        <v>1029</v>
      </c>
    </row>
    <row r="266" spans="1:16" x14ac:dyDescent="0.25">
      <c r="A266">
        <v>13710</v>
      </c>
      <c r="B266" t="s">
        <v>510</v>
      </c>
      <c r="C266" t="s">
        <v>3</v>
      </c>
      <c r="D266" t="s">
        <v>1032</v>
      </c>
      <c r="E266" t="s">
        <v>1036</v>
      </c>
      <c r="F266" t="s">
        <v>1012</v>
      </c>
      <c r="G266" t="str">
        <f>UPPER(Table1[[#This Row],[State]])</f>
        <v>DELHI</v>
      </c>
      <c r="H266" t="s">
        <v>1017</v>
      </c>
      <c r="I266" t="s">
        <v>511</v>
      </c>
      <c r="J266" t="s">
        <v>1026</v>
      </c>
      <c r="K266">
        <v>4953</v>
      </c>
      <c r="L266" s="1">
        <v>43852</v>
      </c>
      <c r="M266" s="1">
        <v>43853</v>
      </c>
      <c r="N266">
        <v>4</v>
      </c>
      <c r="O266" s="4" cm="1">
        <f t="array" ref="O266">_xlfn.IFS(J266="Dell Inspiron 15",66989,J266="Lenovo IdeaPad Slim 3i",34690,J266="Mi NoteBook Ultra",57999,J266="Samsung Galaxy Go",36990,J266="Acer Aspire 3",38980)</f>
        <v>38980</v>
      </c>
      <c r="P266" t="s">
        <v>1029</v>
      </c>
    </row>
    <row r="267" spans="1:16" x14ac:dyDescent="0.25">
      <c r="A267">
        <v>21491</v>
      </c>
      <c r="B267" t="s">
        <v>339</v>
      </c>
      <c r="C267" t="s">
        <v>512</v>
      </c>
      <c r="D267" t="s">
        <v>1032</v>
      </c>
      <c r="E267" t="s">
        <v>1033</v>
      </c>
      <c r="F267" t="s">
        <v>1009</v>
      </c>
      <c r="G267" t="str">
        <f>UPPER(Table1[[#This Row],[State]])</f>
        <v>BIHAR</v>
      </c>
      <c r="H267" t="s">
        <v>1014</v>
      </c>
      <c r="I267" t="s">
        <v>513</v>
      </c>
      <c r="J267" t="s">
        <v>1022</v>
      </c>
      <c r="K267">
        <v>5116</v>
      </c>
      <c r="L267" s="1">
        <v>43941</v>
      </c>
      <c r="M267" s="1">
        <v>43943</v>
      </c>
      <c r="N267">
        <v>10</v>
      </c>
      <c r="O267" s="4" cm="1">
        <f t="array" ref="O267">_xlfn.IFS(J267="Dell Inspiron 15",66989,J267="Lenovo IdeaPad Slim 3i",34690,J267="Mi NoteBook Ultra",57999,J267="Samsung Galaxy Go",36990,J267="Acer Aspire 3",38980)</f>
        <v>66989</v>
      </c>
      <c r="P267" t="s">
        <v>1029</v>
      </c>
    </row>
    <row r="268" spans="1:16" x14ac:dyDescent="0.25">
      <c r="A268">
        <v>18383</v>
      </c>
      <c r="B268" t="s">
        <v>434</v>
      </c>
      <c r="C268" t="s">
        <v>514</v>
      </c>
      <c r="D268" t="s">
        <v>1032</v>
      </c>
      <c r="E268" t="s">
        <v>1034</v>
      </c>
      <c r="F268" t="s">
        <v>1010</v>
      </c>
      <c r="G268" t="str">
        <f>UPPER(Table1[[#This Row],[State]])</f>
        <v>PUDUCHERRY</v>
      </c>
      <c r="H268" t="s">
        <v>1015</v>
      </c>
      <c r="I268" t="s">
        <v>515</v>
      </c>
      <c r="J268" t="s">
        <v>1024</v>
      </c>
      <c r="K268">
        <v>4941</v>
      </c>
      <c r="L268" s="1">
        <v>43845</v>
      </c>
      <c r="M268" s="1">
        <v>43846</v>
      </c>
      <c r="N268">
        <v>7</v>
      </c>
      <c r="O268" s="4" cm="1">
        <f t="array" ref="O268">_xlfn.IFS(J268="Dell Inspiron 15",66989,J268="Lenovo IdeaPad Slim 3i",34690,J268="Mi NoteBook Ultra",57999,J268="Samsung Galaxy Go",36990,J268="Acer Aspire 3",38980)</f>
        <v>57999</v>
      </c>
      <c r="P268" t="s">
        <v>1029</v>
      </c>
    </row>
    <row r="269" spans="1:16" x14ac:dyDescent="0.25">
      <c r="A269">
        <v>17098</v>
      </c>
      <c r="B269" t="s">
        <v>141</v>
      </c>
      <c r="C269" t="s">
        <v>128</v>
      </c>
      <c r="D269" t="s">
        <v>1032</v>
      </c>
      <c r="E269" t="s">
        <v>1033</v>
      </c>
      <c r="F269" t="s">
        <v>1009</v>
      </c>
      <c r="G269" t="str">
        <f>UPPER(Table1[[#This Row],[State]])</f>
        <v>BIHAR</v>
      </c>
      <c r="H269" t="s">
        <v>1014</v>
      </c>
      <c r="I269" t="s">
        <v>516</v>
      </c>
      <c r="J269" t="s">
        <v>1026</v>
      </c>
      <c r="K269">
        <v>5273</v>
      </c>
      <c r="L269" s="1">
        <v>43940</v>
      </c>
      <c r="M269" s="1">
        <v>43947</v>
      </c>
      <c r="N269">
        <v>7</v>
      </c>
      <c r="O269" s="4" cm="1">
        <f t="array" ref="O269">_xlfn.IFS(J269="Dell Inspiron 15",66989,J269="Lenovo IdeaPad Slim 3i",34690,J269="Mi NoteBook Ultra",57999,J269="Samsung Galaxy Go",36990,J269="Acer Aspire 3",38980)</f>
        <v>38980</v>
      </c>
      <c r="P269" t="s">
        <v>1029</v>
      </c>
    </row>
    <row r="270" spans="1:16" x14ac:dyDescent="0.25">
      <c r="A270">
        <v>13118</v>
      </c>
      <c r="B270" t="s">
        <v>517</v>
      </c>
      <c r="C270" t="s">
        <v>483</v>
      </c>
      <c r="D270" t="s">
        <v>1032</v>
      </c>
      <c r="E270" t="s">
        <v>1035</v>
      </c>
      <c r="F270" t="s">
        <v>1011</v>
      </c>
      <c r="G270" t="str">
        <f>UPPER(Table1[[#This Row],[State]])</f>
        <v>GUJARAT</v>
      </c>
      <c r="H270" t="s">
        <v>1016</v>
      </c>
      <c r="I270" t="s">
        <v>518</v>
      </c>
      <c r="J270" t="s">
        <v>1022</v>
      </c>
      <c r="K270">
        <v>5434</v>
      </c>
      <c r="L270" s="1">
        <v>43919</v>
      </c>
      <c r="M270" s="1">
        <v>43922</v>
      </c>
      <c r="N270">
        <v>8</v>
      </c>
      <c r="O270" s="4" cm="1">
        <f t="array" ref="O270">_xlfn.IFS(J270="Dell Inspiron 15",66989,J270="Lenovo IdeaPad Slim 3i",34690,J270="Mi NoteBook Ultra",57999,J270="Samsung Galaxy Go",36990,J270="Acer Aspire 3",38980)</f>
        <v>66989</v>
      </c>
      <c r="P270" t="s">
        <v>1029</v>
      </c>
    </row>
    <row r="271" spans="1:16" x14ac:dyDescent="0.25">
      <c r="A271">
        <v>13991</v>
      </c>
      <c r="B271" t="s">
        <v>40</v>
      </c>
      <c r="C271" t="s">
        <v>384</v>
      </c>
      <c r="D271" t="s">
        <v>1032</v>
      </c>
      <c r="E271" t="s">
        <v>1033</v>
      </c>
      <c r="F271" t="s">
        <v>1009</v>
      </c>
      <c r="G271" t="str">
        <f>UPPER(Table1[[#This Row],[State]])</f>
        <v>BIHAR</v>
      </c>
      <c r="H271" t="s">
        <v>1014</v>
      </c>
      <c r="I271" t="s">
        <v>519</v>
      </c>
      <c r="J271" t="s">
        <v>1023</v>
      </c>
      <c r="K271">
        <v>5459</v>
      </c>
      <c r="L271" s="1">
        <v>44000</v>
      </c>
      <c r="M271" s="1">
        <v>44004</v>
      </c>
      <c r="N271">
        <v>4</v>
      </c>
      <c r="O271" s="4" cm="1">
        <f t="array" ref="O271">_xlfn.IFS(J271="Dell Inspiron 15",66989,J271="Lenovo IdeaPad Slim 3i",34690,J271="Mi NoteBook Ultra",57999,J271="Samsung Galaxy Go",36990,J271="Acer Aspire 3",38980)</f>
        <v>34690</v>
      </c>
      <c r="P271" t="s">
        <v>1029</v>
      </c>
    </row>
    <row r="272" spans="1:16" x14ac:dyDescent="0.25">
      <c r="A272">
        <v>22428</v>
      </c>
      <c r="B272" t="s">
        <v>37</v>
      </c>
      <c r="C272" t="s">
        <v>90</v>
      </c>
      <c r="D272" t="s">
        <v>1032</v>
      </c>
      <c r="E272" t="s">
        <v>1034</v>
      </c>
      <c r="F272" t="s">
        <v>1010</v>
      </c>
      <c r="G272" t="str">
        <f>UPPER(Table1[[#This Row],[State]])</f>
        <v>PUDUCHERRY</v>
      </c>
      <c r="H272" t="s">
        <v>1015</v>
      </c>
      <c r="I272" t="s">
        <v>520</v>
      </c>
      <c r="J272" t="s">
        <v>1025</v>
      </c>
      <c r="K272">
        <v>5141</v>
      </c>
      <c r="L272" s="1">
        <v>43965</v>
      </c>
      <c r="M272" s="1">
        <v>43966</v>
      </c>
      <c r="N272">
        <v>1</v>
      </c>
      <c r="O272" s="4" cm="1">
        <f t="array" ref="O272">_xlfn.IFS(J272="Dell Inspiron 15",66989,J272="Lenovo IdeaPad Slim 3i",34690,J272="Mi NoteBook Ultra",57999,J272="Samsung Galaxy Go",36990,J272="Acer Aspire 3",38980)</f>
        <v>36990</v>
      </c>
      <c r="P272" t="s">
        <v>1029</v>
      </c>
    </row>
    <row r="273" spans="1:16" x14ac:dyDescent="0.25">
      <c r="A273">
        <v>16694</v>
      </c>
      <c r="B273" t="s">
        <v>120</v>
      </c>
      <c r="C273" t="s">
        <v>521</v>
      </c>
      <c r="D273" t="s">
        <v>1032</v>
      </c>
      <c r="E273" t="s">
        <v>1033</v>
      </c>
      <c r="F273" t="s">
        <v>1009</v>
      </c>
      <c r="G273" t="str">
        <f>UPPER(Table1[[#This Row],[State]])</f>
        <v>BIHAR</v>
      </c>
      <c r="H273" t="s">
        <v>1014</v>
      </c>
      <c r="I273" t="s">
        <v>522</v>
      </c>
      <c r="J273" t="s">
        <v>1022</v>
      </c>
      <c r="K273">
        <v>5325</v>
      </c>
      <c r="L273" s="1">
        <v>43855</v>
      </c>
      <c r="M273" s="1">
        <v>43856</v>
      </c>
      <c r="N273">
        <v>5</v>
      </c>
      <c r="O273" s="4" cm="1">
        <f t="array" ref="O273">_xlfn.IFS(J273="Dell Inspiron 15",66989,J273="Lenovo IdeaPad Slim 3i",34690,J273="Mi NoteBook Ultra",57999,J273="Samsung Galaxy Go",36990,J273="Acer Aspire 3",38980)</f>
        <v>66989</v>
      </c>
      <c r="P273" t="s">
        <v>1029</v>
      </c>
    </row>
    <row r="274" spans="1:16" x14ac:dyDescent="0.25">
      <c r="A274">
        <v>14982</v>
      </c>
      <c r="B274" t="s">
        <v>523</v>
      </c>
      <c r="C274" t="s">
        <v>90</v>
      </c>
      <c r="D274" t="s">
        <v>1032</v>
      </c>
      <c r="E274" t="s">
        <v>1035</v>
      </c>
      <c r="F274" t="s">
        <v>1011</v>
      </c>
      <c r="G274" t="str">
        <f>UPPER(Table1[[#This Row],[State]])</f>
        <v>GUJARAT</v>
      </c>
      <c r="H274" t="s">
        <v>1016</v>
      </c>
      <c r="I274" t="s">
        <v>524</v>
      </c>
      <c r="J274" t="s">
        <v>1026</v>
      </c>
      <c r="K274">
        <v>5353</v>
      </c>
      <c r="L274" s="1">
        <v>43832</v>
      </c>
      <c r="M274" s="1">
        <v>43834</v>
      </c>
      <c r="N274">
        <v>8</v>
      </c>
      <c r="O274" s="4" cm="1">
        <f t="array" ref="O274">_xlfn.IFS(J274="Dell Inspiron 15",66989,J274="Lenovo IdeaPad Slim 3i",34690,J274="Mi NoteBook Ultra",57999,J274="Samsung Galaxy Go",36990,J274="Acer Aspire 3",38980)</f>
        <v>38980</v>
      </c>
      <c r="P274" t="s">
        <v>1029</v>
      </c>
    </row>
    <row r="275" spans="1:16" x14ac:dyDescent="0.25">
      <c r="A275">
        <v>22495</v>
      </c>
      <c r="B275" t="s">
        <v>97</v>
      </c>
      <c r="C275" t="s">
        <v>395</v>
      </c>
      <c r="D275" t="s">
        <v>1032</v>
      </c>
      <c r="E275" t="s">
        <v>1035</v>
      </c>
      <c r="F275" t="s">
        <v>1011</v>
      </c>
      <c r="G275" t="str">
        <f>UPPER(Table1[[#This Row],[State]])</f>
        <v>GUJARAT</v>
      </c>
      <c r="H275" t="s">
        <v>1016</v>
      </c>
      <c r="I275" t="s">
        <v>525</v>
      </c>
      <c r="J275" t="s">
        <v>1024</v>
      </c>
      <c r="K275">
        <v>4809</v>
      </c>
      <c r="L275" s="1">
        <v>43832</v>
      </c>
      <c r="M275" s="1">
        <v>43833</v>
      </c>
      <c r="N275">
        <v>7</v>
      </c>
      <c r="O275" s="4" cm="1">
        <f t="array" ref="O275">_xlfn.IFS(J275="Dell Inspiron 15",66989,J275="Lenovo IdeaPad Slim 3i",34690,J275="Mi NoteBook Ultra",57999,J275="Samsung Galaxy Go",36990,J275="Acer Aspire 3",38980)</f>
        <v>57999</v>
      </c>
      <c r="P275" t="s">
        <v>1029</v>
      </c>
    </row>
    <row r="276" spans="1:16" x14ac:dyDescent="0.25">
      <c r="A276">
        <v>24264</v>
      </c>
      <c r="B276" t="s">
        <v>233</v>
      </c>
      <c r="C276" t="s">
        <v>414</v>
      </c>
      <c r="D276" t="s">
        <v>1032</v>
      </c>
      <c r="E276" t="s">
        <v>1035</v>
      </c>
      <c r="F276" t="s">
        <v>1011</v>
      </c>
      <c r="G276" t="str">
        <f>UPPER(Table1[[#This Row],[State]])</f>
        <v>GUJARAT</v>
      </c>
      <c r="H276" t="s">
        <v>1016</v>
      </c>
      <c r="I276" t="s">
        <v>526</v>
      </c>
      <c r="J276" t="s">
        <v>1025</v>
      </c>
      <c r="K276">
        <v>4643</v>
      </c>
      <c r="L276" s="1">
        <v>43841</v>
      </c>
      <c r="M276" s="1">
        <v>43848</v>
      </c>
      <c r="N276">
        <v>6</v>
      </c>
      <c r="O276" s="4" cm="1">
        <f t="array" ref="O276">_xlfn.IFS(J276="Dell Inspiron 15",66989,J276="Lenovo IdeaPad Slim 3i",34690,J276="Mi NoteBook Ultra",57999,J276="Samsung Galaxy Go",36990,J276="Acer Aspire 3",38980)</f>
        <v>36990</v>
      </c>
      <c r="P276" t="s">
        <v>1029</v>
      </c>
    </row>
    <row r="277" spans="1:16" x14ac:dyDescent="0.25">
      <c r="A277">
        <v>12987</v>
      </c>
      <c r="B277" t="s">
        <v>527</v>
      </c>
      <c r="C277" t="s">
        <v>66</v>
      </c>
      <c r="D277" t="s">
        <v>1032</v>
      </c>
      <c r="E277" t="s">
        <v>1035</v>
      </c>
      <c r="F277" t="s">
        <v>1011</v>
      </c>
      <c r="G277" t="str">
        <f>UPPER(Table1[[#This Row],[State]])</f>
        <v>GUJARAT</v>
      </c>
      <c r="H277" t="s">
        <v>1016</v>
      </c>
      <c r="I277" t="s">
        <v>528</v>
      </c>
      <c r="J277" t="s">
        <v>1026</v>
      </c>
      <c r="K277">
        <v>5196</v>
      </c>
      <c r="L277" s="1">
        <v>43833</v>
      </c>
      <c r="M277" s="1">
        <v>43835</v>
      </c>
      <c r="N277">
        <v>6</v>
      </c>
      <c r="O277" s="4" cm="1">
        <f t="array" ref="O277">_xlfn.IFS(J277="Dell Inspiron 15",66989,J277="Lenovo IdeaPad Slim 3i",34690,J277="Mi NoteBook Ultra",57999,J277="Samsung Galaxy Go",36990,J277="Acer Aspire 3",38980)</f>
        <v>38980</v>
      </c>
      <c r="P277" t="s">
        <v>1029</v>
      </c>
    </row>
    <row r="278" spans="1:16" x14ac:dyDescent="0.25">
      <c r="A278">
        <v>16795</v>
      </c>
      <c r="B278" t="s">
        <v>529</v>
      </c>
      <c r="C278" t="s">
        <v>14</v>
      </c>
      <c r="D278" t="s">
        <v>1032</v>
      </c>
      <c r="E278" t="s">
        <v>1036</v>
      </c>
      <c r="F278" t="s">
        <v>1012</v>
      </c>
      <c r="G278" t="str">
        <f>UPPER(Table1[[#This Row],[State]])</f>
        <v>DELHI</v>
      </c>
      <c r="H278" t="s">
        <v>1017</v>
      </c>
      <c r="I278" t="s">
        <v>530</v>
      </c>
      <c r="J278" t="s">
        <v>1022</v>
      </c>
      <c r="K278">
        <v>4687</v>
      </c>
      <c r="L278" s="1">
        <v>43833</v>
      </c>
      <c r="M278" s="1">
        <v>43840</v>
      </c>
      <c r="N278">
        <v>4</v>
      </c>
      <c r="O278" s="4" cm="1">
        <f t="array" ref="O278">_xlfn.IFS(J278="Dell Inspiron 15",66989,J278="Lenovo IdeaPad Slim 3i",34690,J278="Mi NoteBook Ultra",57999,J278="Samsung Galaxy Go",36990,J278="Acer Aspire 3",38980)</f>
        <v>66989</v>
      </c>
      <c r="P278" t="s">
        <v>1029</v>
      </c>
    </row>
    <row r="279" spans="1:16" x14ac:dyDescent="0.25">
      <c r="A279">
        <v>17301</v>
      </c>
      <c r="B279" t="s">
        <v>59</v>
      </c>
      <c r="C279" t="s">
        <v>290</v>
      </c>
      <c r="D279" t="s">
        <v>1032</v>
      </c>
      <c r="E279" t="s">
        <v>1033</v>
      </c>
      <c r="F279" t="s">
        <v>1009</v>
      </c>
      <c r="G279" t="str">
        <f>UPPER(Table1[[#This Row],[State]])</f>
        <v>BIHAR</v>
      </c>
      <c r="H279" t="s">
        <v>1014</v>
      </c>
      <c r="I279" t="s">
        <v>531</v>
      </c>
      <c r="J279" t="s">
        <v>1024</v>
      </c>
      <c r="K279">
        <v>4785</v>
      </c>
      <c r="L279" s="1">
        <v>43833</v>
      </c>
      <c r="M279" s="1">
        <v>43837</v>
      </c>
      <c r="N279">
        <v>2</v>
      </c>
      <c r="O279" s="4" cm="1">
        <f t="array" ref="O279">_xlfn.IFS(J279="Dell Inspiron 15",66989,J279="Lenovo IdeaPad Slim 3i",34690,J279="Mi NoteBook Ultra",57999,J279="Samsung Galaxy Go",36990,J279="Acer Aspire 3",38980)</f>
        <v>57999</v>
      </c>
      <c r="P279" t="s">
        <v>1029</v>
      </c>
    </row>
    <row r="280" spans="1:16" x14ac:dyDescent="0.25">
      <c r="A280">
        <v>13053</v>
      </c>
      <c r="B280" t="s">
        <v>47</v>
      </c>
      <c r="C280" t="s">
        <v>214</v>
      </c>
      <c r="D280" t="s">
        <v>1032</v>
      </c>
      <c r="E280" t="s">
        <v>1034</v>
      </c>
      <c r="F280" t="s">
        <v>1010</v>
      </c>
      <c r="G280" t="str">
        <f>UPPER(Table1[[#This Row],[State]])</f>
        <v>PUDUCHERRY</v>
      </c>
      <c r="H280" t="s">
        <v>1015</v>
      </c>
      <c r="I280" t="s">
        <v>532</v>
      </c>
      <c r="J280" t="s">
        <v>1026</v>
      </c>
      <c r="K280">
        <v>5294</v>
      </c>
      <c r="L280" s="1">
        <v>43934</v>
      </c>
      <c r="M280" s="1">
        <v>43936</v>
      </c>
      <c r="N280">
        <v>7</v>
      </c>
      <c r="O280" s="4" cm="1">
        <f t="array" ref="O280">_xlfn.IFS(J280="Dell Inspiron 15",66989,J280="Lenovo IdeaPad Slim 3i",34690,J280="Mi NoteBook Ultra",57999,J280="Samsung Galaxy Go",36990,J280="Acer Aspire 3",38980)</f>
        <v>38980</v>
      </c>
      <c r="P280" t="s">
        <v>1029</v>
      </c>
    </row>
    <row r="281" spans="1:16" x14ac:dyDescent="0.25">
      <c r="A281">
        <v>13958</v>
      </c>
      <c r="B281" t="s">
        <v>242</v>
      </c>
      <c r="C281" t="s">
        <v>533</v>
      </c>
      <c r="D281" t="s">
        <v>1032</v>
      </c>
      <c r="E281" t="s">
        <v>1033</v>
      </c>
      <c r="F281" t="s">
        <v>1009</v>
      </c>
      <c r="G281" t="str">
        <f>UPPER(Table1[[#This Row],[State]])</f>
        <v>BIHAR</v>
      </c>
      <c r="H281" t="s">
        <v>1014</v>
      </c>
      <c r="I281" t="s">
        <v>534</v>
      </c>
      <c r="J281" t="s">
        <v>1022</v>
      </c>
      <c r="K281">
        <v>5410</v>
      </c>
      <c r="L281" s="1">
        <v>43882</v>
      </c>
      <c r="M281" s="1">
        <v>43882</v>
      </c>
      <c r="N281">
        <v>3</v>
      </c>
      <c r="O281" s="4" cm="1">
        <f t="array" ref="O281">_xlfn.IFS(J281="Dell Inspiron 15",66989,J281="Lenovo IdeaPad Slim 3i",34690,J281="Mi NoteBook Ultra",57999,J281="Samsung Galaxy Go",36990,J281="Acer Aspire 3",38980)</f>
        <v>66989</v>
      </c>
      <c r="P281" t="s">
        <v>1029</v>
      </c>
    </row>
    <row r="282" spans="1:16" x14ac:dyDescent="0.25">
      <c r="A282">
        <v>15125</v>
      </c>
      <c r="B282" t="s">
        <v>257</v>
      </c>
      <c r="C282" t="s">
        <v>248</v>
      </c>
      <c r="D282" t="s">
        <v>1032</v>
      </c>
      <c r="E282" t="s">
        <v>1035</v>
      </c>
      <c r="F282" t="s">
        <v>1011</v>
      </c>
      <c r="G282" t="str">
        <f>UPPER(Table1[[#This Row],[State]])</f>
        <v>GUJARAT</v>
      </c>
      <c r="H282" t="s">
        <v>1016</v>
      </c>
      <c r="I282" t="s">
        <v>535</v>
      </c>
      <c r="J282" t="s">
        <v>1023</v>
      </c>
      <c r="K282">
        <v>4537</v>
      </c>
      <c r="L282" s="1">
        <v>43973</v>
      </c>
      <c r="M282" s="1">
        <v>43974</v>
      </c>
      <c r="N282">
        <v>8</v>
      </c>
      <c r="O282" s="4" cm="1">
        <f t="array" ref="O282">_xlfn.IFS(J282="Dell Inspiron 15",66989,J282="Lenovo IdeaPad Slim 3i",34690,J282="Mi NoteBook Ultra",57999,J282="Samsung Galaxy Go",36990,J282="Acer Aspire 3",38980)</f>
        <v>34690</v>
      </c>
      <c r="P282" t="s">
        <v>1029</v>
      </c>
    </row>
    <row r="283" spans="1:16" x14ac:dyDescent="0.25">
      <c r="A283">
        <v>23185</v>
      </c>
      <c r="B283" t="s">
        <v>536</v>
      </c>
      <c r="C283" t="s">
        <v>486</v>
      </c>
      <c r="D283" t="s">
        <v>1032</v>
      </c>
      <c r="E283" t="s">
        <v>1035</v>
      </c>
      <c r="F283" t="s">
        <v>1011</v>
      </c>
      <c r="G283" t="str">
        <f>UPPER(Table1[[#This Row],[State]])</f>
        <v>GUJARAT</v>
      </c>
      <c r="H283" t="s">
        <v>1016</v>
      </c>
      <c r="I283" t="s">
        <v>537</v>
      </c>
      <c r="J283" t="s">
        <v>1024</v>
      </c>
      <c r="K283">
        <v>4944</v>
      </c>
      <c r="L283" s="1">
        <v>43882</v>
      </c>
      <c r="M283" s="1">
        <v>43882</v>
      </c>
      <c r="N283">
        <v>7</v>
      </c>
      <c r="O283" s="4" cm="1">
        <f t="array" ref="O283">_xlfn.IFS(J283="Dell Inspiron 15",66989,J283="Lenovo IdeaPad Slim 3i",34690,J283="Mi NoteBook Ultra",57999,J283="Samsung Galaxy Go",36990,J283="Acer Aspire 3",38980)</f>
        <v>57999</v>
      </c>
      <c r="P283" t="s">
        <v>1029</v>
      </c>
    </row>
    <row r="284" spans="1:16" x14ac:dyDescent="0.25">
      <c r="A284">
        <v>24572</v>
      </c>
      <c r="B284" t="s">
        <v>145</v>
      </c>
      <c r="C284" t="s">
        <v>139</v>
      </c>
      <c r="D284" t="s">
        <v>1032</v>
      </c>
      <c r="E284" t="s">
        <v>1036</v>
      </c>
      <c r="F284" t="s">
        <v>1012</v>
      </c>
      <c r="G284" t="str">
        <f>UPPER(Table1[[#This Row],[State]])</f>
        <v>DELHI</v>
      </c>
      <c r="H284" t="s">
        <v>1017</v>
      </c>
      <c r="I284" t="s">
        <v>538</v>
      </c>
      <c r="J284" t="s">
        <v>1025</v>
      </c>
      <c r="K284">
        <v>4644</v>
      </c>
      <c r="L284" s="1">
        <v>43973</v>
      </c>
      <c r="M284" s="1">
        <v>43973</v>
      </c>
      <c r="N284">
        <v>9</v>
      </c>
      <c r="O284" s="4" cm="1">
        <f t="array" ref="O284">_xlfn.IFS(J284="Dell Inspiron 15",66989,J284="Lenovo IdeaPad Slim 3i",34690,J284="Mi NoteBook Ultra",57999,J284="Samsung Galaxy Go",36990,J284="Acer Aspire 3",38980)</f>
        <v>36990</v>
      </c>
      <c r="P284" t="s">
        <v>1029</v>
      </c>
    </row>
    <row r="285" spans="1:16" x14ac:dyDescent="0.25">
      <c r="A285">
        <v>24817</v>
      </c>
      <c r="B285" t="s">
        <v>339</v>
      </c>
      <c r="C285" t="s">
        <v>365</v>
      </c>
      <c r="D285" t="s">
        <v>1032</v>
      </c>
      <c r="E285" t="s">
        <v>1033</v>
      </c>
      <c r="F285" t="s">
        <v>1009</v>
      </c>
      <c r="G285" t="str">
        <f>UPPER(Table1[[#This Row],[State]])</f>
        <v>BIHAR</v>
      </c>
      <c r="H285" t="s">
        <v>1014</v>
      </c>
      <c r="I285" t="s">
        <v>539</v>
      </c>
      <c r="J285" t="s">
        <v>1026</v>
      </c>
      <c r="K285">
        <v>5076</v>
      </c>
      <c r="L285" s="1">
        <v>43973</v>
      </c>
      <c r="M285" s="1">
        <v>43974</v>
      </c>
      <c r="N285">
        <v>5</v>
      </c>
      <c r="O285" s="4" cm="1">
        <f t="array" ref="O285">_xlfn.IFS(J285="Dell Inspiron 15",66989,J285="Lenovo IdeaPad Slim 3i",34690,J285="Mi NoteBook Ultra",57999,J285="Samsung Galaxy Go",36990,J285="Acer Aspire 3",38980)</f>
        <v>38980</v>
      </c>
      <c r="P285" t="s">
        <v>1029</v>
      </c>
    </row>
    <row r="286" spans="1:16" x14ac:dyDescent="0.25">
      <c r="A286">
        <v>15605</v>
      </c>
      <c r="B286" t="s">
        <v>54</v>
      </c>
      <c r="C286" t="s">
        <v>270</v>
      </c>
      <c r="D286" t="s">
        <v>1032</v>
      </c>
      <c r="E286" t="s">
        <v>1034</v>
      </c>
      <c r="F286" t="s">
        <v>1010</v>
      </c>
      <c r="G286" t="str">
        <f>UPPER(Table1[[#This Row],[State]])</f>
        <v>PUDUCHERRY</v>
      </c>
      <c r="H286" t="s">
        <v>1015</v>
      </c>
      <c r="I286" t="s">
        <v>540</v>
      </c>
      <c r="J286" t="s">
        <v>1022</v>
      </c>
      <c r="K286">
        <v>4656</v>
      </c>
      <c r="L286" s="1">
        <v>43873</v>
      </c>
      <c r="M286" s="1">
        <v>43874</v>
      </c>
      <c r="N286">
        <v>6</v>
      </c>
      <c r="O286" s="4" cm="1">
        <f t="array" ref="O286">_xlfn.IFS(J286="Dell Inspiron 15",66989,J286="Lenovo IdeaPad Slim 3i",34690,J286="Mi NoteBook Ultra",57999,J286="Samsung Galaxy Go",36990,J286="Acer Aspire 3",38980)</f>
        <v>66989</v>
      </c>
      <c r="P286" t="s">
        <v>1029</v>
      </c>
    </row>
    <row r="287" spans="1:16" x14ac:dyDescent="0.25">
      <c r="A287">
        <v>22892</v>
      </c>
      <c r="B287" t="s">
        <v>527</v>
      </c>
      <c r="C287" t="s">
        <v>90</v>
      </c>
      <c r="D287" t="s">
        <v>1032</v>
      </c>
      <c r="E287" t="s">
        <v>1033</v>
      </c>
      <c r="F287" t="s">
        <v>1009</v>
      </c>
      <c r="G287" t="str">
        <f>UPPER(Table1[[#This Row],[State]])</f>
        <v>BIHAR</v>
      </c>
      <c r="H287" t="s">
        <v>1014</v>
      </c>
      <c r="I287" t="s">
        <v>541</v>
      </c>
      <c r="J287" t="s">
        <v>1024</v>
      </c>
      <c r="K287">
        <v>5451</v>
      </c>
      <c r="L287" s="1">
        <v>43873</v>
      </c>
      <c r="M287" s="1">
        <v>43876</v>
      </c>
      <c r="N287">
        <v>9</v>
      </c>
      <c r="O287" s="4" cm="1">
        <f t="array" ref="O287">_xlfn.IFS(J287="Dell Inspiron 15",66989,J287="Lenovo IdeaPad Slim 3i",34690,J287="Mi NoteBook Ultra",57999,J287="Samsung Galaxy Go",36990,J287="Acer Aspire 3",38980)</f>
        <v>57999</v>
      </c>
      <c r="P287" t="s">
        <v>1029</v>
      </c>
    </row>
    <row r="288" spans="1:16" x14ac:dyDescent="0.25">
      <c r="A288">
        <v>18738</v>
      </c>
      <c r="B288" t="s">
        <v>523</v>
      </c>
      <c r="C288" t="s">
        <v>116</v>
      </c>
      <c r="D288" t="s">
        <v>1032</v>
      </c>
      <c r="E288" t="s">
        <v>1035</v>
      </c>
      <c r="F288" t="s">
        <v>1011</v>
      </c>
      <c r="G288" t="str">
        <f>UPPER(Table1[[#This Row],[State]])</f>
        <v>GUJARAT</v>
      </c>
      <c r="H288" t="s">
        <v>1016</v>
      </c>
      <c r="I288" t="s">
        <v>542</v>
      </c>
      <c r="J288" t="s">
        <v>1026</v>
      </c>
      <c r="K288">
        <v>5065</v>
      </c>
      <c r="L288" s="1">
        <v>43930</v>
      </c>
      <c r="M288" s="1">
        <v>43932</v>
      </c>
      <c r="N288">
        <v>5</v>
      </c>
      <c r="O288" s="4" cm="1">
        <f t="array" ref="O288">_xlfn.IFS(J288="Dell Inspiron 15",66989,J288="Lenovo IdeaPad Slim 3i",34690,J288="Mi NoteBook Ultra",57999,J288="Samsung Galaxy Go",36990,J288="Acer Aspire 3",38980)</f>
        <v>38980</v>
      </c>
      <c r="P288" t="s">
        <v>1029</v>
      </c>
    </row>
    <row r="289" spans="1:16" x14ac:dyDescent="0.25">
      <c r="A289">
        <v>15892</v>
      </c>
      <c r="B289" t="s">
        <v>56</v>
      </c>
      <c r="C289" t="s">
        <v>347</v>
      </c>
      <c r="D289" t="s">
        <v>1032</v>
      </c>
      <c r="E289" t="s">
        <v>1035</v>
      </c>
      <c r="F289" t="s">
        <v>1011</v>
      </c>
      <c r="G289" t="str">
        <f>UPPER(Table1[[#This Row],[State]])</f>
        <v>GUJARAT</v>
      </c>
      <c r="H289" t="s">
        <v>1016</v>
      </c>
      <c r="I289" t="s">
        <v>543</v>
      </c>
      <c r="J289" t="s">
        <v>1022</v>
      </c>
      <c r="K289">
        <v>5332</v>
      </c>
      <c r="L289" s="1">
        <v>43930</v>
      </c>
      <c r="M289" s="1">
        <v>43930</v>
      </c>
      <c r="N289">
        <v>3</v>
      </c>
      <c r="O289" s="4" cm="1">
        <f t="array" ref="O289">_xlfn.IFS(J289="Dell Inspiron 15",66989,J289="Lenovo IdeaPad Slim 3i",34690,J289="Mi NoteBook Ultra",57999,J289="Samsung Galaxy Go",36990,J289="Acer Aspire 3",38980)</f>
        <v>66989</v>
      </c>
      <c r="P289" t="s">
        <v>1029</v>
      </c>
    </row>
    <row r="290" spans="1:16" x14ac:dyDescent="0.25">
      <c r="A290">
        <v>19747</v>
      </c>
      <c r="B290" t="s">
        <v>202</v>
      </c>
      <c r="C290" t="s">
        <v>261</v>
      </c>
      <c r="D290" t="s">
        <v>1032</v>
      </c>
      <c r="E290" t="s">
        <v>1035</v>
      </c>
      <c r="F290" t="s">
        <v>1011</v>
      </c>
      <c r="G290" t="str">
        <f>UPPER(Table1[[#This Row],[State]])</f>
        <v>GUJARAT</v>
      </c>
      <c r="H290" t="s">
        <v>1016</v>
      </c>
      <c r="I290" t="s">
        <v>544</v>
      </c>
      <c r="J290" t="s">
        <v>1023</v>
      </c>
      <c r="K290">
        <v>4925</v>
      </c>
      <c r="L290" s="1">
        <v>43930</v>
      </c>
      <c r="M290" s="1">
        <v>43931</v>
      </c>
      <c r="N290">
        <v>1</v>
      </c>
      <c r="O290" s="4" cm="1">
        <f t="array" ref="O290">_xlfn.IFS(J290="Dell Inspiron 15",66989,J290="Lenovo IdeaPad Slim 3i",34690,J290="Mi NoteBook Ultra",57999,J290="Samsung Galaxy Go",36990,J290="Acer Aspire 3",38980)</f>
        <v>34690</v>
      </c>
      <c r="P290" t="s">
        <v>1029</v>
      </c>
    </row>
    <row r="291" spans="1:16" x14ac:dyDescent="0.25">
      <c r="A291">
        <v>23731</v>
      </c>
      <c r="B291" t="s">
        <v>545</v>
      </c>
      <c r="C291" t="s">
        <v>446</v>
      </c>
      <c r="D291" t="s">
        <v>1032</v>
      </c>
      <c r="E291" t="s">
        <v>1035</v>
      </c>
      <c r="F291" t="s">
        <v>1011</v>
      </c>
      <c r="G291" t="str">
        <f>UPPER(Table1[[#This Row],[State]])</f>
        <v>GUJARAT</v>
      </c>
      <c r="H291" t="s">
        <v>1016</v>
      </c>
      <c r="I291" t="s">
        <v>546</v>
      </c>
      <c r="J291" t="s">
        <v>1025</v>
      </c>
      <c r="K291">
        <v>5081</v>
      </c>
      <c r="L291" s="1">
        <v>43833</v>
      </c>
      <c r="M291" s="1">
        <v>43835</v>
      </c>
      <c r="N291">
        <v>2</v>
      </c>
      <c r="O291" s="4" cm="1">
        <f t="array" ref="O291">_xlfn.IFS(J291="Dell Inspiron 15",66989,J291="Lenovo IdeaPad Slim 3i",34690,J291="Mi NoteBook Ultra",57999,J291="Samsung Galaxy Go",36990,J291="Acer Aspire 3",38980)</f>
        <v>36990</v>
      </c>
      <c r="P291" t="s">
        <v>1029</v>
      </c>
    </row>
    <row r="292" spans="1:16" x14ac:dyDescent="0.25">
      <c r="A292">
        <v>23711</v>
      </c>
      <c r="B292" t="s">
        <v>2</v>
      </c>
      <c r="C292" t="s">
        <v>6</v>
      </c>
      <c r="D292" t="s">
        <v>1032</v>
      </c>
      <c r="E292" t="s">
        <v>1036</v>
      </c>
      <c r="F292" t="s">
        <v>1012</v>
      </c>
      <c r="G292" t="str">
        <f>UPPER(Table1[[#This Row],[State]])</f>
        <v>DELHI</v>
      </c>
      <c r="H292" t="s">
        <v>1017</v>
      </c>
      <c r="I292" t="s">
        <v>547</v>
      </c>
      <c r="J292" t="s">
        <v>1022</v>
      </c>
      <c r="K292">
        <v>5135</v>
      </c>
      <c r="L292" s="1">
        <v>43920</v>
      </c>
      <c r="M292" s="1">
        <v>43922</v>
      </c>
      <c r="N292">
        <v>5</v>
      </c>
      <c r="O292" s="4" cm="1">
        <f t="array" ref="O292">_xlfn.IFS(J292="Dell Inspiron 15",66989,J292="Lenovo IdeaPad Slim 3i",34690,J292="Mi NoteBook Ultra",57999,J292="Samsung Galaxy Go",36990,J292="Acer Aspire 3",38980)</f>
        <v>66989</v>
      </c>
      <c r="P292" t="s">
        <v>1029</v>
      </c>
    </row>
    <row r="293" spans="1:16" x14ac:dyDescent="0.25">
      <c r="A293">
        <v>14774</v>
      </c>
      <c r="B293" t="s">
        <v>130</v>
      </c>
      <c r="C293" t="s">
        <v>474</v>
      </c>
      <c r="D293" t="s">
        <v>1032</v>
      </c>
      <c r="E293" t="s">
        <v>1033</v>
      </c>
      <c r="F293" t="s">
        <v>1009</v>
      </c>
      <c r="G293" t="str">
        <f>UPPER(Table1[[#This Row],[State]])</f>
        <v>BIHAR</v>
      </c>
      <c r="H293" t="s">
        <v>1014</v>
      </c>
      <c r="I293" t="s">
        <v>548</v>
      </c>
      <c r="J293" t="s">
        <v>1026</v>
      </c>
      <c r="K293">
        <v>5180</v>
      </c>
      <c r="L293" s="1">
        <v>43840</v>
      </c>
      <c r="M293" s="1">
        <v>43841</v>
      </c>
      <c r="N293">
        <v>5</v>
      </c>
      <c r="O293" s="4" cm="1">
        <f t="array" ref="O293">_xlfn.IFS(J293="Dell Inspiron 15",66989,J293="Lenovo IdeaPad Slim 3i",34690,J293="Mi NoteBook Ultra",57999,J293="Samsung Galaxy Go",36990,J293="Acer Aspire 3",38980)</f>
        <v>38980</v>
      </c>
      <c r="P293" t="s">
        <v>1029</v>
      </c>
    </row>
    <row r="294" spans="1:16" x14ac:dyDescent="0.25">
      <c r="A294">
        <v>24726</v>
      </c>
      <c r="B294" t="s">
        <v>31</v>
      </c>
      <c r="C294" t="s">
        <v>181</v>
      </c>
      <c r="D294" t="s">
        <v>1032</v>
      </c>
      <c r="E294" t="s">
        <v>1034</v>
      </c>
      <c r="F294" t="s">
        <v>1010</v>
      </c>
      <c r="G294" t="str">
        <f>UPPER(Table1[[#This Row],[State]])</f>
        <v>PUDUCHERRY</v>
      </c>
      <c r="H294" t="s">
        <v>1015</v>
      </c>
      <c r="I294" t="s">
        <v>549</v>
      </c>
      <c r="J294" t="s">
        <v>1024</v>
      </c>
      <c r="K294">
        <v>5079</v>
      </c>
      <c r="L294" s="1">
        <v>43920</v>
      </c>
      <c r="M294" s="1">
        <v>43922</v>
      </c>
      <c r="N294">
        <v>3</v>
      </c>
      <c r="O294" s="4" cm="1">
        <f t="array" ref="O294">_xlfn.IFS(J294="Dell Inspiron 15",66989,J294="Lenovo IdeaPad Slim 3i",34690,J294="Mi NoteBook Ultra",57999,J294="Samsung Galaxy Go",36990,J294="Acer Aspire 3",38980)</f>
        <v>57999</v>
      </c>
      <c r="P294" t="s">
        <v>1029</v>
      </c>
    </row>
    <row r="295" spans="1:16" x14ac:dyDescent="0.25">
      <c r="A295">
        <v>14797</v>
      </c>
      <c r="B295" t="s">
        <v>150</v>
      </c>
      <c r="C295" t="s">
        <v>427</v>
      </c>
      <c r="D295" t="s">
        <v>1032</v>
      </c>
      <c r="E295" t="s">
        <v>1033</v>
      </c>
      <c r="F295" t="s">
        <v>1009</v>
      </c>
      <c r="G295" t="str">
        <f>UPPER(Table1[[#This Row],[State]])</f>
        <v>BIHAR</v>
      </c>
      <c r="H295" t="s">
        <v>1014</v>
      </c>
      <c r="I295" t="s">
        <v>550</v>
      </c>
      <c r="J295" t="s">
        <v>1025</v>
      </c>
      <c r="K295">
        <v>4788</v>
      </c>
      <c r="L295" s="1">
        <v>43923</v>
      </c>
      <c r="M295" s="1">
        <v>43925</v>
      </c>
      <c r="N295">
        <v>10</v>
      </c>
      <c r="O295" s="4" cm="1">
        <f t="array" ref="O295">_xlfn.IFS(J295="Dell Inspiron 15",66989,J295="Lenovo IdeaPad Slim 3i",34690,J295="Mi NoteBook Ultra",57999,J295="Samsung Galaxy Go",36990,J295="Acer Aspire 3",38980)</f>
        <v>36990</v>
      </c>
      <c r="P295" t="s">
        <v>1029</v>
      </c>
    </row>
    <row r="296" spans="1:16" x14ac:dyDescent="0.25">
      <c r="A296">
        <v>14086</v>
      </c>
      <c r="B296" t="s">
        <v>551</v>
      </c>
      <c r="C296" t="s">
        <v>113</v>
      </c>
      <c r="D296" t="s">
        <v>1032</v>
      </c>
      <c r="E296" t="s">
        <v>1035</v>
      </c>
      <c r="F296" t="s">
        <v>1011</v>
      </c>
      <c r="G296" t="str">
        <f>UPPER(Table1[[#This Row],[State]])</f>
        <v>GUJARAT</v>
      </c>
      <c r="H296" t="s">
        <v>1016</v>
      </c>
      <c r="I296" t="s">
        <v>552</v>
      </c>
      <c r="J296" t="s">
        <v>1026</v>
      </c>
      <c r="K296">
        <v>5362</v>
      </c>
      <c r="L296" s="1">
        <v>43923</v>
      </c>
      <c r="M296" s="1">
        <v>43925</v>
      </c>
      <c r="N296">
        <v>8</v>
      </c>
      <c r="O296" s="4" cm="1">
        <f t="array" ref="O296">_xlfn.IFS(J296="Dell Inspiron 15",66989,J296="Lenovo IdeaPad Slim 3i",34690,J296="Mi NoteBook Ultra",57999,J296="Samsung Galaxy Go",36990,J296="Acer Aspire 3",38980)</f>
        <v>38980</v>
      </c>
      <c r="P296" t="s">
        <v>1029</v>
      </c>
    </row>
    <row r="297" spans="1:16" x14ac:dyDescent="0.25">
      <c r="A297">
        <v>25040</v>
      </c>
      <c r="B297" t="s">
        <v>389</v>
      </c>
      <c r="C297" t="s">
        <v>116</v>
      </c>
      <c r="D297" t="s">
        <v>1032</v>
      </c>
      <c r="E297" t="s">
        <v>1035</v>
      </c>
      <c r="F297" t="s">
        <v>1011</v>
      </c>
      <c r="G297" t="str">
        <f>UPPER(Table1[[#This Row],[State]])</f>
        <v>GUJARAT</v>
      </c>
      <c r="H297" t="s">
        <v>1016</v>
      </c>
      <c r="I297" t="s">
        <v>553</v>
      </c>
      <c r="J297" t="s">
        <v>1022</v>
      </c>
      <c r="K297">
        <v>4660</v>
      </c>
      <c r="L297" s="1">
        <v>43948</v>
      </c>
      <c r="M297" s="1">
        <v>43949</v>
      </c>
      <c r="N297">
        <v>9</v>
      </c>
      <c r="O297" s="4" cm="1">
        <f t="array" ref="O297">_xlfn.IFS(J297="Dell Inspiron 15",66989,J297="Lenovo IdeaPad Slim 3i",34690,J297="Mi NoteBook Ultra",57999,J297="Samsung Galaxy Go",36990,J297="Acer Aspire 3",38980)</f>
        <v>66989</v>
      </c>
      <c r="P297" t="s">
        <v>1029</v>
      </c>
    </row>
    <row r="298" spans="1:16" x14ac:dyDescent="0.25">
      <c r="A298">
        <v>20122</v>
      </c>
      <c r="B298" t="s">
        <v>65</v>
      </c>
      <c r="C298" t="s">
        <v>20</v>
      </c>
      <c r="D298" t="s">
        <v>1032</v>
      </c>
      <c r="E298" t="s">
        <v>1035</v>
      </c>
      <c r="F298" t="s">
        <v>1011</v>
      </c>
      <c r="G298" t="str">
        <f>UPPER(Table1[[#This Row],[State]])</f>
        <v>GUJARAT</v>
      </c>
      <c r="H298" t="s">
        <v>1016</v>
      </c>
      <c r="I298" t="s">
        <v>554</v>
      </c>
      <c r="J298" t="s">
        <v>1024</v>
      </c>
      <c r="K298">
        <v>5137</v>
      </c>
      <c r="L298" s="1">
        <v>43846</v>
      </c>
      <c r="M298" s="1">
        <v>43848</v>
      </c>
      <c r="N298">
        <v>1</v>
      </c>
      <c r="O298" s="4" cm="1">
        <f t="array" ref="O298">_xlfn.IFS(J298="Dell Inspiron 15",66989,J298="Lenovo IdeaPad Slim 3i",34690,J298="Mi NoteBook Ultra",57999,J298="Samsung Galaxy Go",36990,J298="Acer Aspire 3",38980)</f>
        <v>57999</v>
      </c>
      <c r="P298" t="s">
        <v>1029</v>
      </c>
    </row>
    <row r="299" spans="1:16" x14ac:dyDescent="0.25">
      <c r="A299">
        <v>24441</v>
      </c>
      <c r="B299" t="s">
        <v>222</v>
      </c>
      <c r="C299" t="s">
        <v>71</v>
      </c>
      <c r="D299" t="s">
        <v>1032</v>
      </c>
      <c r="E299" t="s">
        <v>1036</v>
      </c>
      <c r="F299" t="s">
        <v>1012</v>
      </c>
      <c r="G299" t="str">
        <f>UPPER(Table1[[#This Row],[State]])</f>
        <v>DELHI</v>
      </c>
      <c r="H299" t="s">
        <v>1017</v>
      </c>
      <c r="I299" t="s">
        <v>555</v>
      </c>
      <c r="J299" t="s">
        <v>1026</v>
      </c>
      <c r="K299">
        <v>4851</v>
      </c>
      <c r="L299" s="1">
        <v>43847</v>
      </c>
      <c r="M299" s="1">
        <v>43851</v>
      </c>
      <c r="N299">
        <v>8</v>
      </c>
      <c r="O299" s="4" cm="1">
        <f t="array" ref="O299">_xlfn.IFS(J299="Dell Inspiron 15",66989,J299="Lenovo IdeaPad Slim 3i",34690,J299="Mi NoteBook Ultra",57999,J299="Samsung Galaxy Go",36990,J299="Acer Aspire 3",38980)</f>
        <v>38980</v>
      </c>
      <c r="P299" t="s">
        <v>1029</v>
      </c>
    </row>
    <row r="300" spans="1:16" x14ac:dyDescent="0.25">
      <c r="A300">
        <v>14159</v>
      </c>
      <c r="B300" t="s">
        <v>213</v>
      </c>
      <c r="C300" t="s">
        <v>17</v>
      </c>
      <c r="D300" t="s">
        <v>1032</v>
      </c>
      <c r="E300" t="s">
        <v>1035</v>
      </c>
      <c r="F300" t="s">
        <v>1011</v>
      </c>
      <c r="G300" t="str">
        <f>UPPER(Table1[[#This Row],[State]])</f>
        <v>GUJARAT</v>
      </c>
      <c r="H300" t="s">
        <v>1016</v>
      </c>
      <c r="I300" t="s">
        <v>556</v>
      </c>
      <c r="J300" t="s">
        <v>1022</v>
      </c>
      <c r="K300">
        <v>5119</v>
      </c>
      <c r="L300" s="1">
        <v>43984</v>
      </c>
      <c r="M300" s="1">
        <v>43984</v>
      </c>
      <c r="N300">
        <v>10</v>
      </c>
      <c r="O300" s="4" cm="1">
        <f t="array" ref="O300">_xlfn.IFS(J300="Dell Inspiron 15",66989,J300="Lenovo IdeaPad Slim 3i",34690,J300="Mi NoteBook Ultra",57999,J300="Samsung Galaxy Go",36990,J300="Acer Aspire 3",38980)</f>
        <v>66989</v>
      </c>
      <c r="P300" t="s">
        <v>1029</v>
      </c>
    </row>
    <row r="301" spans="1:16" x14ac:dyDescent="0.25">
      <c r="A301">
        <v>16363</v>
      </c>
      <c r="B301" t="s">
        <v>557</v>
      </c>
      <c r="C301" t="s">
        <v>3</v>
      </c>
      <c r="D301" t="s">
        <v>1032</v>
      </c>
      <c r="E301" t="s">
        <v>1035</v>
      </c>
      <c r="F301" t="s">
        <v>1011</v>
      </c>
      <c r="G301" t="str">
        <f>UPPER(Table1[[#This Row],[State]])</f>
        <v>GUJARAT</v>
      </c>
      <c r="H301" t="s">
        <v>1016</v>
      </c>
      <c r="I301" t="s">
        <v>558</v>
      </c>
      <c r="J301" t="s">
        <v>1023</v>
      </c>
      <c r="K301">
        <v>4763</v>
      </c>
      <c r="L301" s="1">
        <v>43984</v>
      </c>
      <c r="M301" s="1">
        <v>43984</v>
      </c>
      <c r="N301">
        <v>1</v>
      </c>
      <c r="O301" s="4" cm="1">
        <f t="array" ref="O301">_xlfn.IFS(J301="Dell Inspiron 15",66989,J301="Lenovo IdeaPad Slim 3i",34690,J301="Mi NoteBook Ultra",57999,J301="Samsung Galaxy Go",36990,J301="Acer Aspire 3",38980)</f>
        <v>34690</v>
      </c>
      <c r="P301" t="s">
        <v>1029</v>
      </c>
    </row>
    <row r="302" spans="1:16" x14ac:dyDescent="0.25">
      <c r="A302">
        <v>19642</v>
      </c>
      <c r="B302" t="s">
        <v>40</v>
      </c>
      <c r="C302" t="s">
        <v>378</v>
      </c>
      <c r="D302" t="s">
        <v>1032</v>
      </c>
      <c r="E302" t="s">
        <v>1036</v>
      </c>
      <c r="F302" t="s">
        <v>1012</v>
      </c>
      <c r="G302" t="str">
        <f>UPPER(Table1[[#This Row],[State]])</f>
        <v>DELHI</v>
      </c>
      <c r="H302" t="s">
        <v>1017</v>
      </c>
      <c r="I302" t="s">
        <v>559</v>
      </c>
      <c r="J302" t="s">
        <v>1022</v>
      </c>
      <c r="K302">
        <v>4738</v>
      </c>
      <c r="L302" s="1">
        <v>43963</v>
      </c>
      <c r="M302" s="1">
        <v>43964</v>
      </c>
      <c r="N302">
        <v>9</v>
      </c>
      <c r="O302" s="4" cm="1">
        <f t="array" ref="O302">_xlfn.IFS(J302="Dell Inspiron 15",66989,J302="Lenovo IdeaPad Slim 3i",34690,J302="Mi NoteBook Ultra",57999,J302="Samsung Galaxy Go",36990,J302="Acer Aspire 3",38980)</f>
        <v>66989</v>
      </c>
      <c r="P302" t="s">
        <v>1029</v>
      </c>
    </row>
    <row r="303" spans="1:16" x14ac:dyDescent="0.25">
      <c r="A303">
        <v>16043</v>
      </c>
      <c r="B303" t="s">
        <v>459</v>
      </c>
      <c r="C303" t="s">
        <v>170</v>
      </c>
      <c r="D303" t="s">
        <v>1032</v>
      </c>
      <c r="E303" t="s">
        <v>1036</v>
      </c>
      <c r="F303" t="s">
        <v>1012</v>
      </c>
      <c r="G303" t="str">
        <f>UPPER(Table1[[#This Row],[State]])</f>
        <v>DELHI</v>
      </c>
      <c r="H303" t="s">
        <v>1017</v>
      </c>
      <c r="I303" t="s">
        <v>560</v>
      </c>
      <c r="J303" t="s">
        <v>1023</v>
      </c>
      <c r="K303">
        <v>4832</v>
      </c>
      <c r="L303" s="1">
        <v>43929</v>
      </c>
      <c r="M303" s="1">
        <v>43930</v>
      </c>
      <c r="N303">
        <v>10</v>
      </c>
      <c r="O303" s="4" cm="1">
        <f t="array" ref="O303">_xlfn.IFS(J303="Dell Inspiron 15",66989,J303="Lenovo IdeaPad Slim 3i",34690,J303="Mi NoteBook Ultra",57999,J303="Samsung Galaxy Go",36990,J303="Acer Aspire 3",38980)</f>
        <v>34690</v>
      </c>
      <c r="P303" t="s">
        <v>1029</v>
      </c>
    </row>
    <row r="304" spans="1:16" x14ac:dyDescent="0.25">
      <c r="A304">
        <v>22469</v>
      </c>
      <c r="B304" t="s">
        <v>292</v>
      </c>
      <c r="C304" t="s">
        <v>29</v>
      </c>
      <c r="D304" t="s">
        <v>1032</v>
      </c>
      <c r="E304" t="s">
        <v>1033</v>
      </c>
      <c r="F304" t="s">
        <v>1009</v>
      </c>
      <c r="G304" t="str">
        <f>UPPER(Table1[[#This Row],[State]])</f>
        <v>BIHAR</v>
      </c>
      <c r="H304" t="s">
        <v>1014</v>
      </c>
      <c r="I304" t="s">
        <v>561</v>
      </c>
      <c r="J304" t="s">
        <v>1024</v>
      </c>
      <c r="K304">
        <v>4881</v>
      </c>
      <c r="L304" s="1">
        <v>43979</v>
      </c>
      <c r="M304" s="1">
        <v>43979</v>
      </c>
      <c r="N304">
        <v>7</v>
      </c>
      <c r="O304" s="4" cm="1">
        <f t="array" ref="O304">_xlfn.IFS(J304="Dell Inspiron 15",66989,J304="Lenovo IdeaPad Slim 3i",34690,J304="Mi NoteBook Ultra",57999,J304="Samsung Galaxy Go",36990,J304="Acer Aspire 3",38980)</f>
        <v>57999</v>
      </c>
      <c r="P304" t="s">
        <v>1029</v>
      </c>
    </row>
    <row r="305" spans="1:16" x14ac:dyDescent="0.25">
      <c r="A305">
        <v>16888</v>
      </c>
      <c r="B305" t="s">
        <v>536</v>
      </c>
      <c r="C305" t="s">
        <v>290</v>
      </c>
      <c r="D305" t="s">
        <v>1032</v>
      </c>
      <c r="E305" t="s">
        <v>1034</v>
      </c>
      <c r="F305" t="s">
        <v>1010</v>
      </c>
      <c r="G305" t="str">
        <f>UPPER(Table1[[#This Row],[State]])</f>
        <v>PUDUCHERRY</v>
      </c>
      <c r="H305" t="s">
        <v>1015</v>
      </c>
      <c r="I305" t="s">
        <v>562</v>
      </c>
      <c r="J305" t="s">
        <v>1025</v>
      </c>
      <c r="K305">
        <v>5119</v>
      </c>
      <c r="L305" s="1">
        <v>43873</v>
      </c>
      <c r="M305" s="1">
        <v>43876</v>
      </c>
      <c r="N305">
        <v>9</v>
      </c>
      <c r="O305" s="4" cm="1">
        <f t="array" ref="O305">_xlfn.IFS(J305="Dell Inspiron 15",66989,J305="Lenovo IdeaPad Slim 3i",34690,J305="Mi NoteBook Ultra",57999,J305="Samsung Galaxy Go",36990,J305="Acer Aspire 3",38980)</f>
        <v>36990</v>
      </c>
      <c r="P305" t="s">
        <v>1029</v>
      </c>
    </row>
    <row r="306" spans="1:16" x14ac:dyDescent="0.25">
      <c r="A306">
        <v>14965</v>
      </c>
      <c r="B306" t="s">
        <v>382</v>
      </c>
      <c r="C306" t="s">
        <v>199</v>
      </c>
      <c r="D306" t="s">
        <v>1032</v>
      </c>
      <c r="E306" t="s">
        <v>1033</v>
      </c>
      <c r="F306" t="s">
        <v>1009</v>
      </c>
      <c r="G306" t="str">
        <f>UPPER(Table1[[#This Row],[State]])</f>
        <v>BIHAR</v>
      </c>
      <c r="H306" t="s">
        <v>1014</v>
      </c>
      <c r="I306" t="s">
        <v>563</v>
      </c>
      <c r="J306" t="s">
        <v>1026</v>
      </c>
      <c r="K306">
        <v>5322</v>
      </c>
      <c r="L306" s="1">
        <v>43873</v>
      </c>
      <c r="M306" s="1">
        <v>43875</v>
      </c>
      <c r="N306">
        <v>3</v>
      </c>
      <c r="O306" s="4" cm="1">
        <f t="array" ref="O306">_xlfn.IFS(J306="Dell Inspiron 15",66989,J306="Lenovo IdeaPad Slim 3i",34690,J306="Mi NoteBook Ultra",57999,J306="Samsung Galaxy Go",36990,J306="Acer Aspire 3",38980)</f>
        <v>38980</v>
      </c>
      <c r="P306" t="s">
        <v>1029</v>
      </c>
    </row>
    <row r="307" spans="1:16" x14ac:dyDescent="0.25">
      <c r="A307">
        <v>12601</v>
      </c>
      <c r="B307" t="s">
        <v>79</v>
      </c>
      <c r="C307" t="s">
        <v>110</v>
      </c>
      <c r="D307" t="s">
        <v>1032</v>
      </c>
      <c r="E307" t="s">
        <v>1035</v>
      </c>
      <c r="F307" t="s">
        <v>1011</v>
      </c>
      <c r="G307" t="str">
        <f>UPPER(Table1[[#This Row],[State]])</f>
        <v>GUJARAT</v>
      </c>
      <c r="H307" t="s">
        <v>1016</v>
      </c>
      <c r="I307" t="s">
        <v>564</v>
      </c>
      <c r="J307" t="s">
        <v>1022</v>
      </c>
      <c r="K307">
        <v>4630</v>
      </c>
      <c r="L307" s="1">
        <v>43966</v>
      </c>
      <c r="M307" s="1">
        <v>43967</v>
      </c>
      <c r="N307">
        <v>7</v>
      </c>
      <c r="O307" s="4" cm="1">
        <f t="array" ref="O307">_xlfn.IFS(J307="Dell Inspiron 15",66989,J307="Lenovo IdeaPad Slim 3i",34690,J307="Mi NoteBook Ultra",57999,J307="Samsung Galaxy Go",36990,J307="Acer Aspire 3",38980)</f>
        <v>66989</v>
      </c>
      <c r="P307" t="s">
        <v>1029</v>
      </c>
    </row>
    <row r="308" spans="1:16" x14ac:dyDescent="0.25">
      <c r="A308">
        <v>17451</v>
      </c>
      <c r="B308" t="s">
        <v>339</v>
      </c>
      <c r="C308" t="s">
        <v>565</v>
      </c>
      <c r="D308" t="s">
        <v>1032</v>
      </c>
      <c r="E308" t="s">
        <v>1035</v>
      </c>
      <c r="F308" t="s">
        <v>1011</v>
      </c>
      <c r="G308" t="str">
        <f>UPPER(Table1[[#This Row],[State]])</f>
        <v>GUJARAT</v>
      </c>
      <c r="H308" t="s">
        <v>1016</v>
      </c>
      <c r="I308" t="s">
        <v>566</v>
      </c>
      <c r="J308" t="s">
        <v>1024</v>
      </c>
      <c r="K308">
        <v>4716</v>
      </c>
      <c r="L308" s="1">
        <v>43972</v>
      </c>
      <c r="M308" s="1">
        <v>43974</v>
      </c>
      <c r="N308">
        <v>2</v>
      </c>
      <c r="O308" s="4" cm="1">
        <f t="array" ref="O308">_xlfn.IFS(J308="Dell Inspiron 15",66989,J308="Lenovo IdeaPad Slim 3i",34690,J308="Mi NoteBook Ultra",57999,J308="Samsung Galaxy Go",36990,J308="Acer Aspire 3",38980)</f>
        <v>57999</v>
      </c>
      <c r="P308" t="s">
        <v>1029</v>
      </c>
    </row>
    <row r="309" spans="1:16" x14ac:dyDescent="0.25">
      <c r="A309">
        <v>23415</v>
      </c>
      <c r="B309" t="s">
        <v>2</v>
      </c>
      <c r="C309" t="s">
        <v>468</v>
      </c>
      <c r="D309" t="s">
        <v>1032</v>
      </c>
      <c r="E309" t="s">
        <v>1036</v>
      </c>
      <c r="F309" t="s">
        <v>1012</v>
      </c>
      <c r="G309" t="str">
        <f>UPPER(Table1[[#This Row],[State]])</f>
        <v>DELHI</v>
      </c>
      <c r="H309" t="s">
        <v>1017</v>
      </c>
      <c r="I309" t="s">
        <v>567</v>
      </c>
      <c r="J309" t="s">
        <v>1026</v>
      </c>
      <c r="K309">
        <v>4913</v>
      </c>
      <c r="L309" s="1">
        <v>43966</v>
      </c>
      <c r="M309" s="1">
        <v>43967</v>
      </c>
      <c r="N309">
        <v>7</v>
      </c>
      <c r="O309" s="4" cm="1">
        <f t="array" ref="O309">_xlfn.IFS(J309="Dell Inspiron 15",66989,J309="Lenovo IdeaPad Slim 3i",34690,J309="Mi NoteBook Ultra",57999,J309="Samsung Galaxy Go",36990,J309="Acer Aspire 3",38980)</f>
        <v>38980</v>
      </c>
      <c r="P309" t="s">
        <v>1029</v>
      </c>
    </row>
    <row r="310" spans="1:16" x14ac:dyDescent="0.25">
      <c r="A310">
        <v>20367</v>
      </c>
      <c r="B310" t="s">
        <v>568</v>
      </c>
      <c r="C310" t="s">
        <v>148</v>
      </c>
      <c r="D310" t="s">
        <v>1032</v>
      </c>
      <c r="E310" t="s">
        <v>1033</v>
      </c>
      <c r="F310" t="s">
        <v>1009</v>
      </c>
      <c r="G310" t="str">
        <f>UPPER(Table1[[#This Row],[State]])</f>
        <v>BIHAR</v>
      </c>
      <c r="H310" t="s">
        <v>1014</v>
      </c>
      <c r="I310" t="s">
        <v>569</v>
      </c>
      <c r="J310" t="s">
        <v>1022</v>
      </c>
      <c r="K310">
        <v>4735</v>
      </c>
      <c r="L310" s="1">
        <v>43972</v>
      </c>
      <c r="M310" s="1">
        <v>43973</v>
      </c>
      <c r="N310">
        <v>10</v>
      </c>
      <c r="O310" s="4" cm="1">
        <f t="array" ref="O310">_xlfn.IFS(J310="Dell Inspiron 15",66989,J310="Lenovo IdeaPad Slim 3i",34690,J310="Mi NoteBook Ultra",57999,J310="Samsung Galaxy Go",36990,J310="Acer Aspire 3",38980)</f>
        <v>66989</v>
      </c>
      <c r="P310" t="s">
        <v>1029</v>
      </c>
    </row>
    <row r="311" spans="1:16" x14ac:dyDescent="0.25">
      <c r="A311">
        <v>23682</v>
      </c>
      <c r="B311" t="s">
        <v>382</v>
      </c>
      <c r="C311" t="s">
        <v>570</v>
      </c>
      <c r="D311" t="s">
        <v>1032</v>
      </c>
      <c r="E311" t="s">
        <v>1034</v>
      </c>
      <c r="F311" t="s">
        <v>1010</v>
      </c>
      <c r="G311" t="str">
        <f>UPPER(Table1[[#This Row],[State]])</f>
        <v>PUDUCHERRY</v>
      </c>
      <c r="H311" t="s">
        <v>1015</v>
      </c>
      <c r="I311" t="s">
        <v>571</v>
      </c>
      <c r="J311" t="s">
        <v>1023</v>
      </c>
      <c r="K311">
        <v>5344</v>
      </c>
      <c r="L311" s="1">
        <v>43972</v>
      </c>
      <c r="M311" s="1">
        <v>43974</v>
      </c>
      <c r="N311">
        <v>4</v>
      </c>
      <c r="O311" s="4" cm="1">
        <f t="array" ref="O311">_xlfn.IFS(J311="Dell Inspiron 15",66989,J311="Lenovo IdeaPad Slim 3i",34690,J311="Mi NoteBook Ultra",57999,J311="Samsung Galaxy Go",36990,J311="Acer Aspire 3",38980)</f>
        <v>34690</v>
      </c>
      <c r="P311" t="s">
        <v>1029</v>
      </c>
    </row>
    <row r="312" spans="1:16" x14ac:dyDescent="0.25">
      <c r="A312">
        <v>14105</v>
      </c>
      <c r="B312" t="s">
        <v>112</v>
      </c>
      <c r="C312" t="s">
        <v>74</v>
      </c>
      <c r="D312" t="s">
        <v>1032</v>
      </c>
      <c r="E312" t="s">
        <v>1033</v>
      </c>
      <c r="F312" t="s">
        <v>1009</v>
      </c>
      <c r="G312" t="str">
        <f>UPPER(Table1[[#This Row],[State]])</f>
        <v>BIHAR</v>
      </c>
      <c r="H312" t="s">
        <v>1014</v>
      </c>
      <c r="I312" t="s">
        <v>572</v>
      </c>
      <c r="J312" t="s">
        <v>1025</v>
      </c>
      <c r="K312">
        <v>5394</v>
      </c>
      <c r="L312" s="1">
        <v>43858</v>
      </c>
      <c r="M312" s="1">
        <v>43859</v>
      </c>
      <c r="N312">
        <v>7</v>
      </c>
      <c r="O312" s="4" cm="1">
        <f t="array" ref="O312">_xlfn.IFS(J312="Dell Inspiron 15",66989,J312="Lenovo IdeaPad Slim 3i",34690,J312="Mi NoteBook Ultra",57999,J312="Samsung Galaxy Go",36990,J312="Acer Aspire 3",38980)</f>
        <v>36990</v>
      </c>
      <c r="P312" t="s">
        <v>1029</v>
      </c>
    </row>
    <row r="313" spans="1:16" x14ac:dyDescent="0.25">
      <c r="A313">
        <v>23586</v>
      </c>
      <c r="B313" t="s">
        <v>573</v>
      </c>
      <c r="C313" t="s">
        <v>71</v>
      </c>
      <c r="D313" t="s">
        <v>1032</v>
      </c>
      <c r="E313" t="s">
        <v>1035</v>
      </c>
      <c r="F313" t="s">
        <v>1011</v>
      </c>
      <c r="G313" t="str">
        <f>UPPER(Table1[[#This Row],[State]])</f>
        <v>GUJARAT</v>
      </c>
      <c r="H313" t="s">
        <v>1016</v>
      </c>
      <c r="I313" t="s">
        <v>574</v>
      </c>
      <c r="J313" t="s">
        <v>1022</v>
      </c>
      <c r="K313">
        <v>5061</v>
      </c>
      <c r="L313" s="1">
        <v>43858</v>
      </c>
      <c r="M313" s="1">
        <v>43860</v>
      </c>
      <c r="N313">
        <v>4</v>
      </c>
      <c r="O313" s="4" cm="1">
        <f t="array" ref="O313">_xlfn.IFS(J313="Dell Inspiron 15",66989,J313="Lenovo IdeaPad Slim 3i",34690,J313="Mi NoteBook Ultra",57999,J313="Samsung Galaxy Go",36990,J313="Acer Aspire 3",38980)</f>
        <v>66989</v>
      </c>
      <c r="P313" t="s">
        <v>1029</v>
      </c>
    </row>
    <row r="314" spans="1:16" x14ac:dyDescent="0.25">
      <c r="A314">
        <v>13875</v>
      </c>
      <c r="B314" t="s">
        <v>65</v>
      </c>
      <c r="C314" t="s">
        <v>349</v>
      </c>
      <c r="D314" t="s">
        <v>1032</v>
      </c>
      <c r="E314" t="s">
        <v>1035</v>
      </c>
      <c r="F314" t="s">
        <v>1011</v>
      </c>
      <c r="G314" t="str">
        <f>UPPER(Table1[[#This Row],[State]])</f>
        <v>GUJARAT</v>
      </c>
      <c r="H314" t="s">
        <v>1016</v>
      </c>
      <c r="I314" t="s">
        <v>575</v>
      </c>
      <c r="J314" t="s">
        <v>1026</v>
      </c>
      <c r="K314">
        <v>4962</v>
      </c>
      <c r="L314" s="1">
        <v>43953</v>
      </c>
      <c r="M314" s="1">
        <v>43955</v>
      </c>
      <c r="N314">
        <v>4</v>
      </c>
      <c r="O314" s="4" cm="1">
        <f t="array" ref="O314">_xlfn.IFS(J314="Dell Inspiron 15",66989,J314="Lenovo IdeaPad Slim 3i",34690,J314="Mi NoteBook Ultra",57999,J314="Samsung Galaxy Go",36990,J314="Acer Aspire 3",38980)</f>
        <v>38980</v>
      </c>
      <c r="P314" t="s">
        <v>1029</v>
      </c>
    </row>
    <row r="315" spans="1:16" x14ac:dyDescent="0.25">
      <c r="A315">
        <v>18936</v>
      </c>
      <c r="B315" t="s">
        <v>576</v>
      </c>
      <c r="C315" t="s">
        <v>577</v>
      </c>
      <c r="D315" t="s">
        <v>1032</v>
      </c>
      <c r="E315" t="s">
        <v>1036</v>
      </c>
      <c r="F315" t="s">
        <v>1012</v>
      </c>
      <c r="G315" t="str">
        <f>UPPER(Table1[[#This Row],[State]])</f>
        <v>DELHI</v>
      </c>
      <c r="H315" t="s">
        <v>1017</v>
      </c>
      <c r="I315" t="s">
        <v>578</v>
      </c>
      <c r="J315" t="s">
        <v>1025</v>
      </c>
      <c r="K315">
        <v>4694</v>
      </c>
      <c r="L315" s="1">
        <v>43883</v>
      </c>
      <c r="M315" s="1">
        <v>43884</v>
      </c>
      <c r="N315">
        <v>6</v>
      </c>
      <c r="O315" s="4" cm="1">
        <f t="array" ref="O315">_xlfn.IFS(J315="Dell Inspiron 15",66989,J315="Lenovo IdeaPad Slim 3i",34690,J315="Mi NoteBook Ultra",57999,J315="Samsung Galaxy Go",36990,J315="Acer Aspire 3",38980)</f>
        <v>36990</v>
      </c>
      <c r="P315" t="s">
        <v>1029</v>
      </c>
    </row>
    <row r="316" spans="1:16" x14ac:dyDescent="0.25">
      <c r="A316">
        <v>18450</v>
      </c>
      <c r="B316" t="s">
        <v>25</v>
      </c>
      <c r="C316" t="s">
        <v>474</v>
      </c>
      <c r="D316" t="s">
        <v>1032</v>
      </c>
      <c r="E316" t="s">
        <v>1033</v>
      </c>
      <c r="F316" t="s">
        <v>1009</v>
      </c>
      <c r="G316" t="str">
        <f>UPPER(Table1[[#This Row],[State]])</f>
        <v>BIHAR</v>
      </c>
      <c r="H316" t="s">
        <v>1014</v>
      </c>
      <c r="I316" t="s">
        <v>579</v>
      </c>
      <c r="J316" t="s">
        <v>1026</v>
      </c>
      <c r="K316">
        <v>5232</v>
      </c>
      <c r="L316" s="1">
        <v>43917</v>
      </c>
      <c r="M316" s="1">
        <v>43918</v>
      </c>
      <c r="N316">
        <v>6</v>
      </c>
      <c r="O316" s="4" cm="1">
        <f t="array" ref="O316">_xlfn.IFS(J316="Dell Inspiron 15",66989,J316="Lenovo IdeaPad Slim 3i",34690,J316="Mi NoteBook Ultra",57999,J316="Samsung Galaxy Go",36990,J316="Acer Aspire 3",38980)</f>
        <v>38980</v>
      </c>
      <c r="P316" t="s">
        <v>1029</v>
      </c>
    </row>
    <row r="317" spans="1:16" x14ac:dyDescent="0.25">
      <c r="A317">
        <v>16944</v>
      </c>
      <c r="B317" t="s">
        <v>155</v>
      </c>
      <c r="C317" t="s">
        <v>349</v>
      </c>
      <c r="D317" t="s">
        <v>1032</v>
      </c>
      <c r="E317" t="s">
        <v>1036</v>
      </c>
      <c r="F317" t="s">
        <v>1012</v>
      </c>
      <c r="G317" t="str">
        <f>UPPER(Table1[[#This Row],[State]])</f>
        <v>DELHI</v>
      </c>
      <c r="H317" t="s">
        <v>1017</v>
      </c>
      <c r="I317" t="s">
        <v>580</v>
      </c>
      <c r="J317" t="s">
        <v>1022</v>
      </c>
      <c r="K317">
        <v>4948</v>
      </c>
      <c r="L317" s="1">
        <v>43850</v>
      </c>
      <c r="M317" s="1">
        <v>43852</v>
      </c>
      <c r="N317">
        <v>8</v>
      </c>
      <c r="O317" s="4" cm="1">
        <f t="array" ref="O317">_xlfn.IFS(J317="Dell Inspiron 15",66989,J317="Lenovo IdeaPad Slim 3i",34690,J317="Mi NoteBook Ultra",57999,J317="Samsung Galaxy Go",36990,J317="Acer Aspire 3",38980)</f>
        <v>66989</v>
      </c>
      <c r="P317" t="s">
        <v>1029</v>
      </c>
    </row>
    <row r="318" spans="1:16" x14ac:dyDescent="0.25">
      <c r="A318">
        <v>22630</v>
      </c>
      <c r="B318" t="s">
        <v>289</v>
      </c>
      <c r="C318" t="s">
        <v>23</v>
      </c>
      <c r="D318" t="s">
        <v>1032</v>
      </c>
      <c r="E318" t="s">
        <v>1033</v>
      </c>
      <c r="F318" t="s">
        <v>1009</v>
      </c>
      <c r="G318" t="str">
        <f>UPPER(Table1[[#This Row],[State]])</f>
        <v>BIHAR</v>
      </c>
      <c r="H318" t="s">
        <v>1014</v>
      </c>
      <c r="I318" t="s">
        <v>581</v>
      </c>
      <c r="J318" t="s">
        <v>1024</v>
      </c>
      <c r="K318">
        <v>4889</v>
      </c>
      <c r="L318" s="1">
        <v>43902</v>
      </c>
      <c r="M318" s="1">
        <v>43909</v>
      </c>
      <c r="N318">
        <v>9</v>
      </c>
      <c r="O318" s="4" cm="1">
        <f t="array" ref="O318">_xlfn.IFS(J318="Dell Inspiron 15",66989,J318="Lenovo IdeaPad Slim 3i",34690,J318="Mi NoteBook Ultra",57999,J318="Samsung Galaxy Go",36990,J318="Acer Aspire 3",38980)</f>
        <v>57999</v>
      </c>
      <c r="P318" t="s">
        <v>1029</v>
      </c>
    </row>
    <row r="319" spans="1:16" x14ac:dyDescent="0.25">
      <c r="A319">
        <v>16539</v>
      </c>
      <c r="B319" t="s">
        <v>582</v>
      </c>
      <c r="C319" t="s">
        <v>414</v>
      </c>
      <c r="D319" t="s">
        <v>1032</v>
      </c>
      <c r="E319" t="s">
        <v>1034</v>
      </c>
      <c r="F319" t="s">
        <v>1010</v>
      </c>
      <c r="G319" t="str">
        <f>UPPER(Table1[[#This Row],[State]])</f>
        <v>PUDUCHERRY</v>
      </c>
      <c r="H319" t="s">
        <v>1015</v>
      </c>
      <c r="I319" t="s">
        <v>583</v>
      </c>
      <c r="J319" t="s">
        <v>1026</v>
      </c>
      <c r="K319">
        <v>4834</v>
      </c>
      <c r="L319" s="1">
        <v>43997</v>
      </c>
      <c r="M319" s="1">
        <v>43999</v>
      </c>
      <c r="N319">
        <v>7</v>
      </c>
      <c r="O319" s="4" cm="1">
        <f t="array" ref="O319">_xlfn.IFS(J319="Dell Inspiron 15",66989,J319="Lenovo IdeaPad Slim 3i",34690,J319="Mi NoteBook Ultra",57999,J319="Samsung Galaxy Go",36990,J319="Acer Aspire 3",38980)</f>
        <v>38980</v>
      </c>
      <c r="P319" t="s">
        <v>1029</v>
      </c>
    </row>
    <row r="320" spans="1:16" x14ac:dyDescent="0.25">
      <c r="A320">
        <v>18265</v>
      </c>
      <c r="B320" t="s">
        <v>507</v>
      </c>
      <c r="C320" t="s">
        <v>165</v>
      </c>
      <c r="D320" t="s">
        <v>1032</v>
      </c>
      <c r="E320" t="s">
        <v>1033</v>
      </c>
      <c r="F320" t="s">
        <v>1009</v>
      </c>
      <c r="G320" t="str">
        <f>UPPER(Table1[[#This Row],[State]])</f>
        <v>BIHAR</v>
      </c>
      <c r="H320" t="s">
        <v>1014</v>
      </c>
      <c r="I320" t="s">
        <v>584</v>
      </c>
      <c r="J320" t="s">
        <v>1022</v>
      </c>
      <c r="K320">
        <v>4564</v>
      </c>
      <c r="L320" s="1">
        <v>43997</v>
      </c>
      <c r="M320" s="1">
        <v>43998</v>
      </c>
      <c r="N320">
        <v>9</v>
      </c>
      <c r="O320" s="4" cm="1">
        <f t="array" ref="O320">_xlfn.IFS(J320="Dell Inspiron 15",66989,J320="Lenovo IdeaPad Slim 3i",34690,J320="Mi NoteBook Ultra",57999,J320="Samsung Galaxy Go",36990,J320="Acer Aspire 3",38980)</f>
        <v>66989</v>
      </c>
      <c r="P320" t="s">
        <v>1029</v>
      </c>
    </row>
    <row r="321" spans="1:16" x14ac:dyDescent="0.25">
      <c r="A321">
        <v>19922</v>
      </c>
      <c r="B321" t="s">
        <v>481</v>
      </c>
      <c r="C321" t="s">
        <v>585</v>
      </c>
      <c r="D321" t="s">
        <v>1032</v>
      </c>
      <c r="E321" t="s">
        <v>1035</v>
      </c>
      <c r="F321" t="s">
        <v>1011</v>
      </c>
      <c r="G321" t="str">
        <f>UPPER(Table1[[#This Row],[State]])</f>
        <v>GUJARAT</v>
      </c>
      <c r="H321" t="s">
        <v>1016</v>
      </c>
      <c r="I321" t="s">
        <v>586</v>
      </c>
      <c r="J321" t="s">
        <v>1023</v>
      </c>
      <c r="K321">
        <v>4557</v>
      </c>
      <c r="L321" s="1">
        <v>43961</v>
      </c>
      <c r="M321" s="1">
        <v>43962</v>
      </c>
      <c r="N321">
        <v>1</v>
      </c>
      <c r="O321" s="4" cm="1">
        <f t="array" ref="O321">_xlfn.IFS(J321="Dell Inspiron 15",66989,J321="Lenovo IdeaPad Slim 3i",34690,J321="Mi NoteBook Ultra",57999,J321="Samsung Galaxy Go",36990,J321="Acer Aspire 3",38980)</f>
        <v>34690</v>
      </c>
      <c r="P321" t="s">
        <v>1029</v>
      </c>
    </row>
    <row r="322" spans="1:16" x14ac:dyDescent="0.25">
      <c r="A322">
        <v>15334</v>
      </c>
      <c r="B322" t="s">
        <v>180</v>
      </c>
      <c r="C322" t="s">
        <v>77</v>
      </c>
      <c r="D322" t="s">
        <v>1032</v>
      </c>
      <c r="E322" t="s">
        <v>1033</v>
      </c>
      <c r="F322" t="s">
        <v>1009</v>
      </c>
      <c r="G322" t="str">
        <f>UPPER(Table1[[#This Row],[State]])</f>
        <v>BIHAR</v>
      </c>
      <c r="H322" t="s">
        <v>1014</v>
      </c>
      <c r="I322" t="s">
        <v>587</v>
      </c>
      <c r="J322" t="s">
        <v>1025</v>
      </c>
      <c r="K322">
        <v>4648</v>
      </c>
      <c r="L322" s="1">
        <v>43954</v>
      </c>
      <c r="M322" s="1">
        <v>43956</v>
      </c>
      <c r="N322">
        <v>3</v>
      </c>
      <c r="O322" s="4" cm="1">
        <f t="array" ref="O322">_xlfn.IFS(J322="Dell Inspiron 15",66989,J322="Lenovo IdeaPad Slim 3i",34690,J322="Mi NoteBook Ultra",57999,J322="Samsung Galaxy Go",36990,J322="Acer Aspire 3",38980)</f>
        <v>36990</v>
      </c>
      <c r="P322" t="s">
        <v>1029</v>
      </c>
    </row>
    <row r="323" spans="1:16" x14ac:dyDescent="0.25">
      <c r="A323">
        <v>23980</v>
      </c>
      <c r="B323" t="s">
        <v>568</v>
      </c>
      <c r="C323" t="s">
        <v>577</v>
      </c>
      <c r="D323" t="s">
        <v>1032</v>
      </c>
      <c r="E323" t="s">
        <v>1034</v>
      </c>
      <c r="F323" t="s">
        <v>1010</v>
      </c>
      <c r="G323" t="str">
        <f>UPPER(Table1[[#This Row],[State]])</f>
        <v>PUDUCHERRY</v>
      </c>
      <c r="H323" t="s">
        <v>1015</v>
      </c>
      <c r="I323" t="s">
        <v>588</v>
      </c>
      <c r="J323" t="s">
        <v>1022</v>
      </c>
      <c r="K323">
        <v>4960</v>
      </c>
      <c r="L323" s="1">
        <v>43954</v>
      </c>
      <c r="M323" s="1">
        <v>43956</v>
      </c>
      <c r="N323">
        <v>3</v>
      </c>
      <c r="O323" s="4" cm="1">
        <f t="array" ref="O323">_xlfn.IFS(J323="Dell Inspiron 15",66989,J323="Lenovo IdeaPad Slim 3i",34690,J323="Mi NoteBook Ultra",57999,J323="Samsung Galaxy Go",36990,J323="Acer Aspire 3",38980)</f>
        <v>66989</v>
      </c>
      <c r="P323" t="s">
        <v>1029</v>
      </c>
    </row>
    <row r="324" spans="1:16" x14ac:dyDescent="0.25">
      <c r="A324">
        <v>20077</v>
      </c>
      <c r="B324" t="s">
        <v>412</v>
      </c>
      <c r="C324" t="s">
        <v>427</v>
      </c>
      <c r="D324" t="s">
        <v>1032</v>
      </c>
      <c r="E324" t="s">
        <v>1033</v>
      </c>
      <c r="F324" t="s">
        <v>1009</v>
      </c>
      <c r="G324" t="str">
        <f>UPPER(Table1[[#This Row],[State]])</f>
        <v>BIHAR</v>
      </c>
      <c r="H324" t="s">
        <v>1014</v>
      </c>
      <c r="I324" t="s">
        <v>589</v>
      </c>
      <c r="J324" t="s">
        <v>1026</v>
      </c>
      <c r="K324">
        <v>5446</v>
      </c>
      <c r="L324" s="1">
        <v>43954</v>
      </c>
      <c r="M324" s="1">
        <v>43955</v>
      </c>
      <c r="N324">
        <v>9</v>
      </c>
      <c r="O324" s="4" cm="1">
        <f t="array" ref="O324">_xlfn.IFS(J324="Dell Inspiron 15",66989,J324="Lenovo IdeaPad Slim 3i",34690,J324="Mi NoteBook Ultra",57999,J324="Samsung Galaxy Go",36990,J324="Acer Aspire 3",38980)</f>
        <v>38980</v>
      </c>
      <c r="P324" t="s">
        <v>1029</v>
      </c>
    </row>
    <row r="325" spans="1:16" x14ac:dyDescent="0.25">
      <c r="A325">
        <v>12916</v>
      </c>
      <c r="B325" t="s">
        <v>51</v>
      </c>
      <c r="C325" t="s">
        <v>95</v>
      </c>
      <c r="D325" t="s">
        <v>1032</v>
      </c>
      <c r="E325" t="s">
        <v>1035</v>
      </c>
      <c r="F325" t="s">
        <v>1011</v>
      </c>
      <c r="G325" t="str">
        <f>UPPER(Table1[[#This Row],[State]])</f>
        <v>GUJARAT</v>
      </c>
      <c r="H325" t="s">
        <v>1016</v>
      </c>
      <c r="I325" t="s">
        <v>590</v>
      </c>
      <c r="J325" t="s">
        <v>1024</v>
      </c>
      <c r="K325">
        <v>5339</v>
      </c>
      <c r="L325" s="1">
        <v>44004</v>
      </c>
      <c r="M325" s="1">
        <v>44006</v>
      </c>
      <c r="N325">
        <v>9</v>
      </c>
      <c r="O325" s="4" cm="1">
        <f t="array" ref="O325">_xlfn.IFS(J325="Dell Inspiron 15",66989,J325="Lenovo IdeaPad Slim 3i",34690,J325="Mi NoteBook Ultra",57999,J325="Samsung Galaxy Go",36990,J325="Acer Aspire 3",38980)</f>
        <v>57999</v>
      </c>
      <c r="P325" t="s">
        <v>1029</v>
      </c>
    </row>
    <row r="326" spans="1:16" x14ac:dyDescent="0.25">
      <c r="A326">
        <v>15782</v>
      </c>
      <c r="B326" t="s">
        <v>97</v>
      </c>
      <c r="C326" t="s">
        <v>71</v>
      </c>
      <c r="D326" t="s">
        <v>1032</v>
      </c>
      <c r="E326" t="s">
        <v>1035</v>
      </c>
      <c r="F326" t="s">
        <v>1011</v>
      </c>
      <c r="G326" t="str">
        <f>UPPER(Table1[[#This Row],[State]])</f>
        <v>GUJARAT</v>
      </c>
      <c r="H326" t="s">
        <v>1016</v>
      </c>
      <c r="I326" t="s">
        <v>591</v>
      </c>
      <c r="J326" t="s">
        <v>1025</v>
      </c>
      <c r="K326">
        <v>5263</v>
      </c>
      <c r="L326" s="1">
        <v>43927</v>
      </c>
      <c r="M326" s="1">
        <v>43928</v>
      </c>
      <c r="N326">
        <v>1</v>
      </c>
      <c r="O326" s="4" cm="1">
        <f t="array" ref="O326">_xlfn.IFS(J326="Dell Inspiron 15",66989,J326="Lenovo IdeaPad Slim 3i",34690,J326="Mi NoteBook Ultra",57999,J326="Samsung Galaxy Go",36990,J326="Acer Aspire 3",38980)</f>
        <v>36990</v>
      </c>
      <c r="P326" t="s">
        <v>1029</v>
      </c>
    </row>
    <row r="327" spans="1:16" x14ac:dyDescent="0.25">
      <c r="A327">
        <v>21253</v>
      </c>
      <c r="B327" t="s">
        <v>592</v>
      </c>
      <c r="C327" t="s">
        <v>11</v>
      </c>
      <c r="D327" t="s">
        <v>1032</v>
      </c>
      <c r="E327" t="s">
        <v>1035</v>
      </c>
      <c r="F327" t="s">
        <v>1011</v>
      </c>
      <c r="G327" t="str">
        <f>UPPER(Table1[[#This Row],[State]])</f>
        <v>GUJARAT</v>
      </c>
      <c r="H327" t="s">
        <v>1016</v>
      </c>
      <c r="I327" t="s">
        <v>593</v>
      </c>
      <c r="J327" t="s">
        <v>1026</v>
      </c>
      <c r="K327">
        <v>4847</v>
      </c>
      <c r="L327" s="1">
        <v>44004</v>
      </c>
      <c r="M327" s="1">
        <v>44006</v>
      </c>
      <c r="N327">
        <v>5</v>
      </c>
      <c r="O327" s="4" cm="1">
        <f t="array" ref="O327">_xlfn.IFS(J327="Dell Inspiron 15",66989,J327="Lenovo IdeaPad Slim 3i",34690,J327="Mi NoteBook Ultra",57999,J327="Samsung Galaxy Go",36990,J327="Acer Aspire 3",38980)</f>
        <v>38980</v>
      </c>
      <c r="P327" t="s">
        <v>1029</v>
      </c>
    </row>
    <row r="328" spans="1:16" x14ac:dyDescent="0.25">
      <c r="A328">
        <v>15881</v>
      </c>
      <c r="B328" t="s">
        <v>217</v>
      </c>
      <c r="C328" t="s">
        <v>429</v>
      </c>
      <c r="D328" t="s">
        <v>1032</v>
      </c>
      <c r="E328" t="s">
        <v>1035</v>
      </c>
      <c r="F328" t="s">
        <v>1011</v>
      </c>
      <c r="G328" t="str">
        <f>UPPER(Table1[[#This Row],[State]])</f>
        <v>GUJARAT</v>
      </c>
      <c r="H328" t="s">
        <v>1016</v>
      </c>
      <c r="I328" t="s">
        <v>594</v>
      </c>
      <c r="J328" t="s">
        <v>1022</v>
      </c>
      <c r="K328">
        <v>5073</v>
      </c>
      <c r="L328" s="1">
        <v>44004</v>
      </c>
      <c r="M328" s="1">
        <v>44005</v>
      </c>
      <c r="N328">
        <v>10</v>
      </c>
      <c r="O328" s="4" cm="1">
        <f t="array" ref="O328">_xlfn.IFS(J328="Dell Inspiron 15",66989,J328="Lenovo IdeaPad Slim 3i",34690,J328="Mi NoteBook Ultra",57999,J328="Samsung Galaxy Go",36990,J328="Acer Aspire 3",38980)</f>
        <v>66989</v>
      </c>
      <c r="P328" t="s">
        <v>1029</v>
      </c>
    </row>
    <row r="329" spans="1:16" x14ac:dyDescent="0.25">
      <c r="A329">
        <v>20504</v>
      </c>
      <c r="B329" t="s">
        <v>386</v>
      </c>
      <c r="C329" t="s">
        <v>248</v>
      </c>
      <c r="D329" t="s">
        <v>1032</v>
      </c>
      <c r="E329" t="s">
        <v>1036</v>
      </c>
      <c r="F329" t="s">
        <v>1012</v>
      </c>
      <c r="G329" t="str">
        <f>UPPER(Table1[[#This Row],[State]])</f>
        <v>DELHI</v>
      </c>
      <c r="H329" t="s">
        <v>1017</v>
      </c>
      <c r="I329" t="s">
        <v>595</v>
      </c>
      <c r="J329" t="s">
        <v>1024</v>
      </c>
      <c r="K329">
        <v>4722</v>
      </c>
      <c r="L329" s="1">
        <v>43927</v>
      </c>
      <c r="M329" s="1">
        <v>43928</v>
      </c>
      <c r="N329">
        <v>3</v>
      </c>
      <c r="O329" s="4" cm="1">
        <f t="array" ref="O329">_xlfn.IFS(J329="Dell Inspiron 15",66989,J329="Lenovo IdeaPad Slim 3i",34690,J329="Mi NoteBook Ultra",57999,J329="Samsung Galaxy Go",36990,J329="Acer Aspire 3",38980)</f>
        <v>57999</v>
      </c>
      <c r="P329" t="s">
        <v>1029</v>
      </c>
    </row>
    <row r="330" spans="1:16" x14ac:dyDescent="0.25">
      <c r="A330">
        <v>20463</v>
      </c>
      <c r="B330" t="s">
        <v>158</v>
      </c>
      <c r="C330" t="s">
        <v>29</v>
      </c>
      <c r="D330" t="s">
        <v>1032</v>
      </c>
      <c r="E330" t="s">
        <v>1033</v>
      </c>
      <c r="F330" t="s">
        <v>1009</v>
      </c>
      <c r="G330" t="str">
        <f>UPPER(Table1[[#This Row],[State]])</f>
        <v>BIHAR</v>
      </c>
      <c r="H330" t="s">
        <v>1014</v>
      </c>
      <c r="I330" t="s">
        <v>596</v>
      </c>
      <c r="J330" t="s">
        <v>1026</v>
      </c>
      <c r="K330">
        <v>4744</v>
      </c>
      <c r="L330" s="1">
        <v>44004</v>
      </c>
      <c r="M330" s="1">
        <v>44005</v>
      </c>
      <c r="N330">
        <v>2</v>
      </c>
      <c r="O330" s="4" cm="1">
        <f t="array" ref="O330">_xlfn.IFS(J330="Dell Inspiron 15",66989,J330="Lenovo IdeaPad Slim 3i",34690,J330="Mi NoteBook Ultra",57999,J330="Samsung Galaxy Go",36990,J330="Acer Aspire 3",38980)</f>
        <v>38980</v>
      </c>
      <c r="P330" t="s">
        <v>1029</v>
      </c>
    </row>
    <row r="331" spans="1:16" x14ac:dyDescent="0.25">
      <c r="A331">
        <v>21459</v>
      </c>
      <c r="B331" t="s">
        <v>92</v>
      </c>
      <c r="C331" t="s">
        <v>74</v>
      </c>
      <c r="D331" t="s">
        <v>1032</v>
      </c>
      <c r="E331" t="s">
        <v>1034</v>
      </c>
      <c r="F331" t="s">
        <v>1010</v>
      </c>
      <c r="G331" t="str">
        <f>UPPER(Table1[[#This Row],[State]])</f>
        <v>PUDUCHERRY</v>
      </c>
      <c r="H331" t="s">
        <v>1015</v>
      </c>
      <c r="I331" t="s">
        <v>597</v>
      </c>
      <c r="J331" t="s">
        <v>1022</v>
      </c>
      <c r="K331">
        <v>4705</v>
      </c>
      <c r="L331" s="1">
        <v>43833</v>
      </c>
      <c r="M331" s="1">
        <v>43834</v>
      </c>
      <c r="N331">
        <v>4</v>
      </c>
      <c r="O331" s="4" cm="1">
        <f t="array" ref="O331">_xlfn.IFS(J331="Dell Inspiron 15",66989,J331="Lenovo IdeaPad Slim 3i",34690,J331="Mi NoteBook Ultra",57999,J331="Samsung Galaxy Go",36990,J331="Acer Aspire 3",38980)</f>
        <v>66989</v>
      </c>
      <c r="P331" t="s">
        <v>1029</v>
      </c>
    </row>
    <row r="332" spans="1:16" x14ac:dyDescent="0.25">
      <c r="A332">
        <v>19844</v>
      </c>
      <c r="B332" t="s">
        <v>364</v>
      </c>
      <c r="C332" t="s">
        <v>214</v>
      </c>
      <c r="D332" t="s">
        <v>1032</v>
      </c>
      <c r="E332" t="s">
        <v>1033</v>
      </c>
      <c r="F332" t="s">
        <v>1009</v>
      </c>
      <c r="G332" t="str">
        <f>UPPER(Table1[[#This Row],[State]])</f>
        <v>BIHAR</v>
      </c>
      <c r="H332" t="s">
        <v>1014</v>
      </c>
      <c r="I332" t="s">
        <v>598</v>
      </c>
      <c r="J332" t="s">
        <v>1023</v>
      </c>
      <c r="K332">
        <v>4862</v>
      </c>
      <c r="L332" s="1">
        <v>43925</v>
      </c>
      <c r="M332" s="1">
        <v>43927</v>
      </c>
      <c r="N332">
        <v>1</v>
      </c>
      <c r="O332" s="4" cm="1">
        <f t="array" ref="O332">_xlfn.IFS(J332="Dell Inspiron 15",66989,J332="Lenovo IdeaPad Slim 3i",34690,J332="Mi NoteBook Ultra",57999,J332="Samsung Galaxy Go",36990,J332="Acer Aspire 3",38980)</f>
        <v>34690</v>
      </c>
      <c r="P332" t="s">
        <v>1029</v>
      </c>
    </row>
    <row r="333" spans="1:16" x14ac:dyDescent="0.25">
      <c r="A333">
        <v>16528</v>
      </c>
      <c r="B333" t="s">
        <v>282</v>
      </c>
      <c r="C333" t="s">
        <v>95</v>
      </c>
      <c r="D333" t="s">
        <v>1032</v>
      </c>
      <c r="E333" t="s">
        <v>1035</v>
      </c>
      <c r="F333" t="s">
        <v>1011</v>
      </c>
      <c r="G333" t="str">
        <f>UPPER(Table1[[#This Row],[State]])</f>
        <v>GUJARAT</v>
      </c>
      <c r="H333" t="s">
        <v>1016</v>
      </c>
      <c r="I333" t="s">
        <v>599</v>
      </c>
      <c r="J333" t="s">
        <v>1024</v>
      </c>
      <c r="K333">
        <v>5096</v>
      </c>
      <c r="L333" s="1">
        <v>43925</v>
      </c>
      <c r="M333" s="1">
        <v>43927</v>
      </c>
      <c r="N333">
        <v>7</v>
      </c>
      <c r="O333" s="4" cm="1">
        <f t="array" ref="O333">_xlfn.IFS(J333="Dell Inspiron 15",66989,J333="Lenovo IdeaPad Slim 3i",34690,J333="Mi NoteBook Ultra",57999,J333="Samsung Galaxy Go",36990,J333="Acer Aspire 3",38980)</f>
        <v>57999</v>
      </c>
      <c r="P333" t="s">
        <v>1029</v>
      </c>
    </row>
    <row r="334" spans="1:16" x14ac:dyDescent="0.25">
      <c r="A334">
        <v>13960</v>
      </c>
      <c r="B334" t="s">
        <v>198</v>
      </c>
      <c r="C334" t="s">
        <v>207</v>
      </c>
      <c r="D334" t="s">
        <v>1032</v>
      </c>
      <c r="E334" t="s">
        <v>1035</v>
      </c>
      <c r="F334" t="s">
        <v>1011</v>
      </c>
      <c r="G334" t="str">
        <f>UPPER(Table1[[#This Row],[State]])</f>
        <v>GUJARAT</v>
      </c>
      <c r="H334" t="s">
        <v>1016</v>
      </c>
      <c r="I334" t="s">
        <v>600</v>
      </c>
      <c r="J334" t="s">
        <v>1025</v>
      </c>
      <c r="K334">
        <v>5322</v>
      </c>
      <c r="L334" s="1">
        <v>43930</v>
      </c>
      <c r="M334" s="1">
        <v>43932</v>
      </c>
      <c r="N334">
        <v>2</v>
      </c>
      <c r="O334" s="4" cm="1">
        <f t="array" ref="O334">_xlfn.IFS(J334="Dell Inspiron 15",66989,J334="Lenovo IdeaPad Slim 3i",34690,J334="Mi NoteBook Ultra",57999,J334="Samsung Galaxy Go",36990,J334="Acer Aspire 3",38980)</f>
        <v>36990</v>
      </c>
      <c r="P334" t="s">
        <v>1029</v>
      </c>
    </row>
    <row r="335" spans="1:16" x14ac:dyDescent="0.25">
      <c r="A335">
        <v>17227</v>
      </c>
      <c r="B335" t="s">
        <v>54</v>
      </c>
      <c r="C335" t="s">
        <v>211</v>
      </c>
      <c r="D335" t="s">
        <v>1032</v>
      </c>
      <c r="E335" t="s">
        <v>1036</v>
      </c>
      <c r="F335" t="s">
        <v>1012</v>
      </c>
      <c r="G335" t="str">
        <f>UPPER(Table1[[#This Row],[State]])</f>
        <v>DELHI</v>
      </c>
      <c r="H335" t="s">
        <v>1017</v>
      </c>
      <c r="I335" t="s">
        <v>601</v>
      </c>
      <c r="J335" t="s">
        <v>1026</v>
      </c>
      <c r="K335">
        <v>5057</v>
      </c>
      <c r="L335" s="1">
        <v>43833</v>
      </c>
      <c r="M335" s="1">
        <v>43834</v>
      </c>
      <c r="N335">
        <v>4</v>
      </c>
      <c r="O335" s="4" cm="1">
        <f t="array" ref="O335">_xlfn.IFS(J335="Dell Inspiron 15",66989,J335="Lenovo IdeaPad Slim 3i",34690,J335="Mi NoteBook Ultra",57999,J335="Samsung Galaxy Go",36990,J335="Acer Aspire 3",38980)</f>
        <v>38980</v>
      </c>
      <c r="P335" t="s">
        <v>1029</v>
      </c>
    </row>
    <row r="336" spans="1:16" x14ac:dyDescent="0.25">
      <c r="A336">
        <v>13040</v>
      </c>
      <c r="B336" t="s">
        <v>510</v>
      </c>
      <c r="C336" t="s">
        <v>145</v>
      </c>
      <c r="D336" t="s">
        <v>1032</v>
      </c>
      <c r="E336" t="s">
        <v>1033</v>
      </c>
      <c r="F336" t="s">
        <v>1009</v>
      </c>
      <c r="G336" t="str">
        <f>UPPER(Table1[[#This Row],[State]])</f>
        <v>BIHAR</v>
      </c>
      <c r="H336" t="s">
        <v>1014</v>
      </c>
      <c r="I336" t="s">
        <v>602</v>
      </c>
      <c r="J336" t="s">
        <v>1022</v>
      </c>
      <c r="K336">
        <v>5398</v>
      </c>
      <c r="L336" s="1">
        <v>43925</v>
      </c>
      <c r="M336" s="1">
        <v>43927</v>
      </c>
      <c r="N336">
        <v>1</v>
      </c>
      <c r="O336" s="4" cm="1">
        <f t="array" ref="O336">_xlfn.IFS(J336="Dell Inspiron 15",66989,J336="Lenovo IdeaPad Slim 3i",34690,J336="Mi NoteBook Ultra",57999,J336="Samsung Galaxy Go",36990,J336="Acer Aspire 3",38980)</f>
        <v>66989</v>
      </c>
      <c r="P336" t="s">
        <v>1029</v>
      </c>
    </row>
    <row r="337" spans="1:16" x14ac:dyDescent="0.25">
      <c r="A337">
        <v>23407</v>
      </c>
      <c r="B337" t="s">
        <v>31</v>
      </c>
      <c r="C337" t="s">
        <v>479</v>
      </c>
      <c r="D337" t="s">
        <v>1032</v>
      </c>
      <c r="E337" t="s">
        <v>1034</v>
      </c>
      <c r="F337" t="s">
        <v>1010</v>
      </c>
      <c r="G337" t="str">
        <f>UPPER(Table1[[#This Row],[State]])</f>
        <v>PUDUCHERRY</v>
      </c>
      <c r="H337" t="s">
        <v>1015</v>
      </c>
      <c r="I337" t="s">
        <v>603</v>
      </c>
      <c r="J337" t="s">
        <v>1024</v>
      </c>
      <c r="K337">
        <v>4714</v>
      </c>
      <c r="L337" s="1">
        <v>43925</v>
      </c>
      <c r="M337" s="1">
        <v>43927</v>
      </c>
      <c r="N337">
        <v>1</v>
      </c>
      <c r="O337" s="4" cm="1">
        <f t="array" ref="O337">_xlfn.IFS(J337="Dell Inspiron 15",66989,J337="Lenovo IdeaPad Slim 3i",34690,J337="Mi NoteBook Ultra",57999,J337="Samsung Galaxy Go",36990,J337="Acer Aspire 3",38980)</f>
        <v>57999</v>
      </c>
      <c r="P337" t="s">
        <v>1029</v>
      </c>
    </row>
    <row r="338" spans="1:16" x14ac:dyDescent="0.25">
      <c r="A338">
        <v>25104</v>
      </c>
      <c r="B338" t="s">
        <v>453</v>
      </c>
      <c r="C338" t="s">
        <v>11</v>
      </c>
      <c r="D338" t="s">
        <v>1032</v>
      </c>
      <c r="E338" t="s">
        <v>1033</v>
      </c>
      <c r="F338" t="s">
        <v>1009</v>
      </c>
      <c r="G338" t="str">
        <f>UPPER(Table1[[#This Row],[State]])</f>
        <v>BIHAR</v>
      </c>
      <c r="H338" t="s">
        <v>1014</v>
      </c>
      <c r="I338" t="s">
        <v>604</v>
      </c>
      <c r="J338" t="s">
        <v>1026</v>
      </c>
      <c r="K338">
        <v>5059</v>
      </c>
      <c r="L338" s="1">
        <v>43930</v>
      </c>
      <c r="M338" s="1">
        <v>43932</v>
      </c>
      <c r="N338">
        <v>2</v>
      </c>
      <c r="O338" s="4" cm="1">
        <f t="array" ref="O338">_xlfn.IFS(J338="Dell Inspiron 15",66989,J338="Lenovo IdeaPad Slim 3i",34690,J338="Mi NoteBook Ultra",57999,J338="Samsung Galaxy Go",36990,J338="Acer Aspire 3",38980)</f>
        <v>38980</v>
      </c>
      <c r="P338" t="s">
        <v>1029</v>
      </c>
    </row>
    <row r="339" spans="1:16" x14ac:dyDescent="0.25">
      <c r="A339">
        <v>16366</v>
      </c>
      <c r="B339" t="s">
        <v>527</v>
      </c>
      <c r="C339" t="s">
        <v>173</v>
      </c>
      <c r="D339" t="s">
        <v>1032</v>
      </c>
      <c r="E339" t="s">
        <v>1035</v>
      </c>
      <c r="F339" t="s">
        <v>1011</v>
      </c>
      <c r="G339" t="str">
        <f>UPPER(Table1[[#This Row],[State]])</f>
        <v>GUJARAT</v>
      </c>
      <c r="H339" t="s">
        <v>1016</v>
      </c>
      <c r="I339" t="s">
        <v>605</v>
      </c>
      <c r="J339" t="s">
        <v>1022</v>
      </c>
      <c r="K339">
        <v>5048</v>
      </c>
      <c r="L339" s="1">
        <v>43842</v>
      </c>
      <c r="M339" s="1">
        <v>43843</v>
      </c>
      <c r="N339">
        <v>6</v>
      </c>
      <c r="O339" s="4" cm="1">
        <f t="array" ref="O339">_xlfn.IFS(J339="Dell Inspiron 15",66989,J339="Lenovo IdeaPad Slim 3i",34690,J339="Mi NoteBook Ultra",57999,J339="Samsung Galaxy Go",36990,J339="Acer Aspire 3",38980)</f>
        <v>66989</v>
      </c>
      <c r="P339" t="s">
        <v>1029</v>
      </c>
    </row>
    <row r="340" spans="1:16" x14ac:dyDescent="0.25">
      <c r="A340">
        <v>21908</v>
      </c>
      <c r="B340" t="s">
        <v>172</v>
      </c>
      <c r="C340" t="s">
        <v>606</v>
      </c>
      <c r="D340" t="s">
        <v>1032</v>
      </c>
      <c r="E340" t="s">
        <v>1035</v>
      </c>
      <c r="F340" t="s">
        <v>1011</v>
      </c>
      <c r="G340" t="str">
        <f>UPPER(Table1[[#This Row],[State]])</f>
        <v>GUJARAT</v>
      </c>
      <c r="H340" t="s">
        <v>1016</v>
      </c>
      <c r="I340" t="s">
        <v>607</v>
      </c>
      <c r="J340" t="s">
        <v>1023</v>
      </c>
      <c r="K340">
        <v>4571</v>
      </c>
      <c r="L340" s="1">
        <v>43842</v>
      </c>
      <c r="M340" s="1">
        <v>43844</v>
      </c>
      <c r="N340">
        <v>9</v>
      </c>
      <c r="O340" s="4" cm="1">
        <f t="array" ref="O340">_xlfn.IFS(J340="Dell Inspiron 15",66989,J340="Lenovo IdeaPad Slim 3i",34690,J340="Mi NoteBook Ultra",57999,J340="Samsung Galaxy Go",36990,J340="Acer Aspire 3",38980)</f>
        <v>34690</v>
      </c>
      <c r="P340" t="s">
        <v>1029</v>
      </c>
    </row>
    <row r="341" spans="1:16" x14ac:dyDescent="0.25">
      <c r="A341">
        <v>12973</v>
      </c>
      <c r="B341" t="s">
        <v>545</v>
      </c>
      <c r="C341" t="s">
        <v>608</v>
      </c>
      <c r="D341" t="s">
        <v>1032</v>
      </c>
      <c r="E341" t="s">
        <v>1035</v>
      </c>
      <c r="F341" t="s">
        <v>1011</v>
      </c>
      <c r="G341" t="str">
        <f>UPPER(Table1[[#This Row],[State]])</f>
        <v>GUJARAT</v>
      </c>
      <c r="H341" t="s">
        <v>1016</v>
      </c>
      <c r="I341" t="s">
        <v>609</v>
      </c>
      <c r="J341" t="s">
        <v>1025</v>
      </c>
      <c r="K341">
        <v>4851</v>
      </c>
      <c r="L341" s="1">
        <v>43930</v>
      </c>
      <c r="M341" s="1">
        <v>43931</v>
      </c>
      <c r="N341">
        <v>2</v>
      </c>
      <c r="O341" s="4" cm="1">
        <f t="array" ref="O341">_xlfn.IFS(J341="Dell Inspiron 15",66989,J341="Lenovo IdeaPad Slim 3i",34690,J341="Mi NoteBook Ultra",57999,J341="Samsung Galaxy Go",36990,J341="Acer Aspire 3",38980)</f>
        <v>36990</v>
      </c>
      <c r="P341" t="s">
        <v>1029</v>
      </c>
    </row>
    <row r="342" spans="1:16" x14ac:dyDescent="0.25">
      <c r="A342">
        <v>18981</v>
      </c>
      <c r="B342" t="s">
        <v>180</v>
      </c>
      <c r="C342" t="s">
        <v>293</v>
      </c>
      <c r="D342" t="s">
        <v>1032</v>
      </c>
      <c r="E342" t="s">
        <v>1036</v>
      </c>
      <c r="F342" t="s">
        <v>1012</v>
      </c>
      <c r="G342" t="str">
        <f>UPPER(Table1[[#This Row],[State]])</f>
        <v>DELHI</v>
      </c>
      <c r="H342" t="s">
        <v>1017</v>
      </c>
      <c r="I342" t="s">
        <v>610</v>
      </c>
      <c r="J342" t="s">
        <v>1022</v>
      </c>
      <c r="K342">
        <v>4841</v>
      </c>
      <c r="L342" s="1">
        <v>43857</v>
      </c>
      <c r="M342" s="1">
        <v>43858</v>
      </c>
      <c r="N342">
        <v>9</v>
      </c>
      <c r="O342" s="4" cm="1">
        <f t="array" ref="O342">_xlfn.IFS(J342="Dell Inspiron 15",66989,J342="Lenovo IdeaPad Slim 3i",34690,J342="Mi NoteBook Ultra",57999,J342="Samsung Galaxy Go",36990,J342="Acer Aspire 3",38980)</f>
        <v>66989</v>
      </c>
      <c r="P342" t="s">
        <v>1029</v>
      </c>
    </row>
    <row r="343" spans="1:16" x14ac:dyDescent="0.25">
      <c r="A343">
        <v>23905</v>
      </c>
      <c r="B343" t="s">
        <v>13</v>
      </c>
      <c r="C343" t="s">
        <v>611</v>
      </c>
      <c r="D343" t="s">
        <v>1032</v>
      </c>
      <c r="E343" t="s">
        <v>1035</v>
      </c>
      <c r="F343" t="s">
        <v>1011</v>
      </c>
      <c r="G343" t="str">
        <f>UPPER(Table1[[#This Row],[State]])</f>
        <v>GUJARAT</v>
      </c>
      <c r="H343" t="s">
        <v>1016</v>
      </c>
      <c r="I343" t="s">
        <v>612</v>
      </c>
      <c r="J343" t="s">
        <v>1026</v>
      </c>
      <c r="K343">
        <v>4632</v>
      </c>
      <c r="L343" s="1">
        <v>43976</v>
      </c>
      <c r="M343" s="1">
        <v>43977</v>
      </c>
      <c r="N343">
        <v>2</v>
      </c>
      <c r="O343" s="4" cm="1">
        <f t="array" ref="O343">_xlfn.IFS(J343="Dell Inspiron 15",66989,J343="Lenovo IdeaPad Slim 3i",34690,J343="Mi NoteBook Ultra",57999,J343="Samsung Galaxy Go",36990,J343="Acer Aspire 3",38980)</f>
        <v>38980</v>
      </c>
      <c r="P343" t="s">
        <v>1029</v>
      </c>
    </row>
    <row r="344" spans="1:16" x14ac:dyDescent="0.25">
      <c r="A344">
        <v>25057</v>
      </c>
      <c r="B344" t="s">
        <v>92</v>
      </c>
      <c r="C344" t="s">
        <v>38</v>
      </c>
      <c r="D344" t="s">
        <v>1032</v>
      </c>
      <c r="E344" t="s">
        <v>1035</v>
      </c>
      <c r="F344" t="s">
        <v>1011</v>
      </c>
      <c r="G344" t="str">
        <f>UPPER(Table1[[#This Row],[State]])</f>
        <v>GUJARAT</v>
      </c>
      <c r="H344" t="s">
        <v>1016</v>
      </c>
      <c r="I344" t="s">
        <v>613</v>
      </c>
      <c r="J344" t="s">
        <v>1024</v>
      </c>
      <c r="K344">
        <v>4786</v>
      </c>
      <c r="L344" s="1">
        <v>43967</v>
      </c>
      <c r="M344" s="1">
        <v>43968</v>
      </c>
      <c r="N344">
        <v>4</v>
      </c>
      <c r="O344" s="4" cm="1">
        <f t="array" ref="O344">_xlfn.IFS(J344="Dell Inspiron 15",66989,J344="Lenovo IdeaPad Slim 3i",34690,J344="Mi NoteBook Ultra",57999,J344="Samsung Galaxy Go",36990,J344="Acer Aspire 3",38980)</f>
        <v>57999</v>
      </c>
      <c r="P344" t="s">
        <v>1029</v>
      </c>
    </row>
    <row r="345" spans="1:16" x14ac:dyDescent="0.25">
      <c r="A345">
        <v>24679</v>
      </c>
      <c r="B345" t="s">
        <v>614</v>
      </c>
      <c r="C345" t="s">
        <v>134</v>
      </c>
      <c r="D345" t="s">
        <v>1032</v>
      </c>
      <c r="E345" t="s">
        <v>1036</v>
      </c>
      <c r="F345" t="s">
        <v>1012</v>
      </c>
      <c r="G345" t="str">
        <f>UPPER(Table1[[#This Row],[State]])</f>
        <v>DELHI</v>
      </c>
      <c r="H345" t="s">
        <v>1017</v>
      </c>
      <c r="I345" t="s">
        <v>615</v>
      </c>
      <c r="J345" t="s">
        <v>1025</v>
      </c>
      <c r="K345">
        <v>5159</v>
      </c>
      <c r="L345" s="1">
        <v>43967</v>
      </c>
      <c r="M345" s="1">
        <v>43968</v>
      </c>
      <c r="N345">
        <v>8</v>
      </c>
      <c r="O345" s="4" cm="1">
        <f t="array" ref="O345">_xlfn.IFS(J345="Dell Inspiron 15",66989,J345="Lenovo IdeaPad Slim 3i",34690,J345="Mi NoteBook Ultra",57999,J345="Samsung Galaxy Go",36990,J345="Acer Aspire 3",38980)</f>
        <v>36990</v>
      </c>
      <c r="P345" t="s">
        <v>1029</v>
      </c>
    </row>
    <row r="346" spans="1:16" x14ac:dyDescent="0.25">
      <c r="A346">
        <v>17647</v>
      </c>
      <c r="B346" t="s">
        <v>219</v>
      </c>
      <c r="C346" t="s">
        <v>616</v>
      </c>
      <c r="D346" t="s">
        <v>1032</v>
      </c>
      <c r="E346" t="s">
        <v>1036</v>
      </c>
      <c r="F346" t="s">
        <v>1012</v>
      </c>
      <c r="G346" t="str">
        <f>UPPER(Table1[[#This Row],[State]])</f>
        <v>DELHI</v>
      </c>
      <c r="H346" t="s">
        <v>1017</v>
      </c>
      <c r="I346" t="s">
        <v>617</v>
      </c>
      <c r="J346" t="s">
        <v>1026</v>
      </c>
      <c r="K346">
        <v>5429</v>
      </c>
      <c r="L346" s="1">
        <v>43984</v>
      </c>
      <c r="M346" s="1">
        <v>43985</v>
      </c>
      <c r="N346">
        <v>3</v>
      </c>
      <c r="O346" s="4" cm="1">
        <f t="array" ref="O346">_xlfn.IFS(J346="Dell Inspiron 15",66989,J346="Lenovo IdeaPad Slim 3i",34690,J346="Mi NoteBook Ultra",57999,J346="Samsung Galaxy Go",36990,J346="Acer Aspire 3",38980)</f>
        <v>38980</v>
      </c>
      <c r="P346" t="s">
        <v>1029</v>
      </c>
    </row>
    <row r="347" spans="1:16" x14ac:dyDescent="0.25">
      <c r="A347">
        <v>16993</v>
      </c>
      <c r="B347" t="s">
        <v>370</v>
      </c>
      <c r="C347" t="s">
        <v>618</v>
      </c>
      <c r="D347" t="s">
        <v>1032</v>
      </c>
      <c r="E347" t="s">
        <v>1033</v>
      </c>
      <c r="F347" t="s">
        <v>1009</v>
      </c>
      <c r="G347" t="str">
        <f>UPPER(Table1[[#This Row],[State]])</f>
        <v>BIHAR</v>
      </c>
      <c r="H347" t="s">
        <v>1014</v>
      </c>
      <c r="I347" t="s">
        <v>619</v>
      </c>
      <c r="J347" t="s">
        <v>1022</v>
      </c>
      <c r="K347">
        <v>5210</v>
      </c>
      <c r="L347" s="1">
        <v>43984</v>
      </c>
      <c r="M347" s="1">
        <v>43985</v>
      </c>
      <c r="N347">
        <v>8</v>
      </c>
      <c r="O347" s="4" cm="1">
        <f t="array" ref="O347">_xlfn.IFS(J347="Dell Inspiron 15",66989,J347="Lenovo IdeaPad Slim 3i",34690,J347="Mi NoteBook Ultra",57999,J347="Samsung Galaxy Go",36990,J347="Acer Aspire 3",38980)</f>
        <v>66989</v>
      </c>
      <c r="P347" t="s">
        <v>1029</v>
      </c>
    </row>
    <row r="348" spans="1:16" x14ac:dyDescent="0.25">
      <c r="A348">
        <v>23217</v>
      </c>
      <c r="B348" t="s">
        <v>353</v>
      </c>
      <c r="C348" t="s">
        <v>167</v>
      </c>
      <c r="D348" t="s">
        <v>1032</v>
      </c>
      <c r="E348" t="s">
        <v>1034</v>
      </c>
      <c r="F348" t="s">
        <v>1010</v>
      </c>
      <c r="G348" t="str">
        <f>UPPER(Table1[[#This Row],[State]])</f>
        <v>PUDUCHERRY</v>
      </c>
      <c r="H348" t="s">
        <v>1015</v>
      </c>
      <c r="I348" t="s">
        <v>620</v>
      </c>
      <c r="J348" t="s">
        <v>1024</v>
      </c>
      <c r="K348">
        <v>5526</v>
      </c>
      <c r="L348" s="1">
        <v>43845</v>
      </c>
      <c r="M348" s="1">
        <v>43847</v>
      </c>
      <c r="N348">
        <v>10</v>
      </c>
      <c r="O348" s="4" cm="1">
        <f t="array" ref="O348">_xlfn.IFS(J348="Dell Inspiron 15",66989,J348="Lenovo IdeaPad Slim 3i",34690,J348="Mi NoteBook Ultra",57999,J348="Samsung Galaxy Go",36990,J348="Acer Aspire 3",38980)</f>
        <v>57999</v>
      </c>
      <c r="P348" t="s">
        <v>1029</v>
      </c>
    </row>
    <row r="349" spans="1:16" x14ac:dyDescent="0.25">
      <c r="A349">
        <v>14058</v>
      </c>
      <c r="B349" t="s">
        <v>621</v>
      </c>
      <c r="C349" t="s">
        <v>268</v>
      </c>
      <c r="D349" t="s">
        <v>1032</v>
      </c>
      <c r="E349" t="s">
        <v>1033</v>
      </c>
      <c r="F349" t="s">
        <v>1009</v>
      </c>
      <c r="G349" t="str">
        <f>UPPER(Table1[[#This Row],[State]])</f>
        <v>BIHAR</v>
      </c>
      <c r="H349" t="s">
        <v>1014</v>
      </c>
      <c r="I349" t="s">
        <v>622</v>
      </c>
      <c r="J349" t="s">
        <v>1026</v>
      </c>
      <c r="K349">
        <v>5173</v>
      </c>
      <c r="L349" s="1">
        <v>43906</v>
      </c>
      <c r="M349" s="1">
        <v>43906</v>
      </c>
      <c r="N349">
        <v>1</v>
      </c>
      <c r="O349" s="4" cm="1">
        <f t="array" ref="O349">_xlfn.IFS(J349="Dell Inspiron 15",66989,J349="Lenovo IdeaPad Slim 3i",34690,J349="Mi NoteBook Ultra",57999,J349="Samsung Galaxy Go",36990,J349="Acer Aspire 3",38980)</f>
        <v>38980</v>
      </c>
      <c r="P349" t="s">
        <v>1029</v>
      </c>
    </row>
    <row r="350" spans="1:16" x14ac:dyDescent="0.25">
      <c r="A350">
        <v>15001</v>
      </c>
      <c r="B350" t="s">
        <v>94</v>
      </c>
      <c r="C350" t="s">
        <v>623</v>
      </c>
      <c r="D350" t="s">
        <v>1032</v>
      </c>
      <c r="E350" t="s">
        <v>1035</v>
      </c>
      <c r="F350" t="s">
        <v>1011</v>
      </c>
      <c r="G350" t="str">
        <f>UPPER(Table1[[#This Row],[State]])</f>
        <v>GUJARAT</v>
      </c>
      <c r="H350" t="s">
        <v>1016</v>
      </c>
      <c r="I350" t="s">
        <v>624</v>
      </c>
      <c r="J350" t="s">
        <v>1022</v>
      </c>
      <c r="K350">
        <v>4775</v>
      </c>
      <c r="L350" s="1">
        <v>43902</v>
      </c>
      <c r="M350" s="1">
        <v>43903</v>
      </c>
      <c r="N350">
        <v>6</v>
      </c>
      <c r="O350" s="4" cm="1">
        <f t="array" ref="O350">_xlfn.IFS(J350="Dell Inspiron 15",66989,J350="Lenovo IdeaPad Slim 3i",34690,J350="Mi NoteBook Ultra",57999,J350="Samsung Galaxy Go",36990,J350="Acer Aspire 3",38980)</f>
        <v>66989</v>
      </c>
      <c r="P350" t="s">
        <v>1029</v>
      </c>
    </row>
    <row r="351" spans="1:16" x14ac:dyDescent="0.25">
      <c r="A351">
        <v>23900</v>
      </c>
      <c r="B351" t="s">
        <v>434</v>
      </c>
      <c r="C351" t="s">
        <v>512</v>
      </c>
      <c r="D351" t="s">
        <v>1032</v>
      </c>
      <c r="E351" t="s">
        <v>1035</v>
      </c>
      <c r="F351" t="s">
        <v>1011</v>
      </c>
      <c r="G351" t="str">
        <f>UPPER(Table1[[#This Row],[State]])</f>
        <v>GUJARAT</v>
      </c>
      <c r="H351" t="s">
        <v>1016</v>
      </c>
      <c r="I351" t="s">
        <v>625</v>
      </c>
      <c r="J351" t="s">
        <v>1023</v>
      </c>
      <c r="K351">
        <v>4905</v>
      </c>
      <c r="L351" s="1">
        <v>43944</v>
      </c>
      <c r="M351" s="1">
        <v>43945</v>
      </c>
      <c r="N351">
        <v>4</v>
      </c>
      <c r="O351" s="4" cm="1">
        <f t="array" ref="O351">_xlfn.IFS(J351="Dell Inspiron 15",66989,J351="Lenovo IdeaPad Slim 3i",34690,J351="Mi NoteBook Ultra",57999,J351="Samsung Galaxy Go",36990,J351="Acer Aspire 3",38980)</f>
        <v>34690</v>
      </c>
      <c r="P351" t="s">
        <v>1029</v>
      </c>
    </row>
    <row r="352" spans="1:16" x14ac:dyDescent="0.25">
      <c r="A352">
        <v>21407</v>
      </c>
      <c r="B352" t="s">
        <v>37</v>
      </c>
      <c r="C352" t="s">
        <v>141</v>
      </c>
      <c r="D352" t="s">
        <v>1032</v>
      </c>
      <c r="E352" t="s">
        <v>1036</v>
      </c>
      <c r="F352" t="s">
        <v>1012</v>
      </c>
      <c r="G352" t="str">
        <f>UPPER(Table1[[#This Row],[State]])</f>
        <v>DELHI</v>
      </c>
      <c r="H352" t="s">
        <v>1017</v>
      </c>
      <c r="I352" t="s">
        <v>626</v>
      </c>
      <c r="J352" t="s">
        <v>1022</v>
      </c>
      <c r="K352">
        <v>5115</v>
      </c>
      <c r="L352" s="1">
        <v>43852</v>
      </c>
      <c r="M352" s="1">
        <v>43853</v>
      </c>
      <c r="N352">
        <v>5</v>
      </c>
      <c r="O352" s="4" cm="1">
        <f t="array" ref="O352">_xlfn.IFS(J352="Dell Inspiron 15",66989,J352="Lenovo IdeaPad Slim 3i",34690,J352="Mi NoteBook Ultra",57999,J352="Samsung Galaxy Go",36990,J352="Acer Aspire 3",38980)</f>
        <v>66989</v>
      </c>
      <c r="P352" t="s">
        <v>1029</v>
      </c>
    </row>
    <row r="353" spans="1:16" x14ac:dyDescent="0.25">
      <c r="A353">
        <v>25061</v>
      </c>
      <c r="B353" t="s">
        <v>459</v>
      </c>
      <c r="C353" t="s">
        <v>181</v>
      </c>
      <c r="D353" t="s">
        <v>1032</v>
      </c>
      <c r="E353" t="s">
        <v>1033</v>
      </c>
      <c r="F353" t="s">
        <v>1009</v>
      </c>
      <c r="G353" t="str">
        <f>UPPER(Table1[[#This Row],[State]])</f>
        <v>BIHAR</v>
      </c>
      <c r="H353" t="s">
        <v>1014</v>
      </c>
      <c r="I353" t="s">
        <v>627</v>
      </c>
      <c r="J353" t="s">
        <v>1023</v>
      </c>
      <c r="K353">
        <v>5238</v>
      </c>
      <c r="L353" s="1">
        <v>43941</v>
      </c>
      <c r="M353" s="1">
        <v>43943</v>
      </c>
      <c r="N353">
        <v>7</v>
      </c>
      <c r="O353" s="4" cm="1">
        <f t="array" ref="O353">_xlfn.IFS(J353="Dell Inspiron 15",66989,J353="Lenovo IdeaPad Slim 3i",34690,J353="Mi NoteBook Ultra",57999,J353="Samsung Galaxy Go",36990,J353="Acer Aspire 3",38980)</f>
        <v>34690</v>
      </c>
      <c r="P353" t="s">
        <v>1029</v>
      </c>
    </row>
    <row r="354" spans="1:16" x14ac:dyDescent="0.25">
      <c r="A354">
        <v>23778</v>
      </c>
      <c r="B354" t="s">
        <v>582</v>
      </c>
      <c r="C354" t="s">
        <v>479</v>
      </c>
      <c r="D354" t="s">
        <v>1032</v>
      </c>
      <c r="E354" t="s">
        <v>1035</v>
      </c>
      <c r="F354" t="s">
        <v>1011</v>
      </c>
      <c r="G354" t="str">
        <f>UPPER(Table1[[#This Row],[State]])</f>
        <v>GUJARAT</v>
      </c>
      <c r="H354" t="s">
        <v>1016</v>
      </c>
      <c r="I354" t="s">
        <v>628</v>
      </c>
      <c r="J354" t="s">
        <v>1024</v>
      </c>
      <c r="K354">
        <v>5284</v>
      </c>
      <c r="L354" s="1">
        <v>43845</v>
      </c>
      <c r="M354" s="1">
        <v>43846</v>
      </c>
      <c r="N354">
        <v>5</v>
      </c>
      <c r="O354" s="4" cm="1">
        <f t="array" ref="O354">_xlfn.IFS(J354="Dell Inspiron 15",66989,J354="Lenovo IdeaPad Slim 3i",34690,J354="Mi NoteBook Ultra",57999,J354="Samsung Galaxy Go",36990,J354="Acer Aspire 3",38980)</f>
        <v>57999</v>
      </c>
      <c r="P354" t="s">
        <v>1029</v>
      </c>
    </row>
    <row r="355" spans="1:16" x14ac:dyDescent="0.25">
      <c r="A355">
        <v>14760</v>
      </c>
      <c r="B355" t="s">
        <v>629</v>
      </c>
      <c r="C355" t="s">
        <v>183</v>
      </c>
      <c r="D355" t="s">
        <v>1032</v>
      </c>
      <c r="E355" t="s">
        <v>1036</v>
      </c>
      <c r="F355" t="s">
        <v>1012</v>
      </c>
      <c r="G355" t="str">
        <f>UPPER(Table1[[#This Row],[State]])</f>
        <v>DELHI</v>
      </c>
      <c r="H355" t="s">
        <v>1017</v>
      </c>
      <c r="I355" t="s">
        <v>630</v>
      </c>
      <c r="J355" t="s">
        <v>1025</v>
      </c>
      <c r="K355">
        <v>5211</v>
      </c>
      <c r="L355" s="1">
        <v>43940</v>
      </c>
      <c r="M355" s="1">
        <v>43947</v>
      </c>
      <c r="N355">
        <v>2</v>
      </c>
      <c r="O355" s="4" cm="1">
        <f t="array" ref="O355">_xlfn.IFS(J355="Dell Inspiron 15",66989,J355="Lenovo IdeaPad Slim 3i",34690,J355="Mi NoteBook Ultra",57999,J355="Samsung Galaxy Go",36990,J355="Acer Aspire 3",38980)</f>
        <v>36990</v>
      </c>
      <c r="P355" t="s">
        <v>1029</v>
      </c>
    </row>
    <row r="356" spans="1:16" x14ac:dyDescent="0.25">
      <c r="A356">
        <v>12613</v>
      </c>
      <c r="B356" t="s">
        <v>473</v>
      </c>
      <c r="C356" t="s">
        <v>414</v>
      </c>
      <c r="D356" t="s">
        <v>1032</v>
      </c>
      <c r="E356" t="s">
        <v>1033</v>
      </c>
      <c r="F356" t="s">
        <v>1009</v>
      </c>
      <c r="G356" t="str">
        <f>UPPER(Table1[[#This Row],[State]])</f>
        <v>BIHAR</v>
      </c>
      <c r="H356" t="s">
        <v>1014</v>
      </c>
      <c r="I356" t="s">
        <v>631</v>
      </c>
      <c r="J356" t="s">
        <v>1026</v>
      </c>
      <c r="K356">
        <v>4931</v>
      </c>
      <c r="L356" s="1">
        <v>43919</v>
      </c>
      <c r="M356" s="1">
        <v>43922</v>
      </c>
      <c r="N356">
        <v>9</v>
      </c>
      <c r="O356" s="4" cm="1">
        <f t="array" ref="O356">_xlfn.IFS(J356="Dell Inspiron 15",66989,J356="Lenovo IdeaPad Slim 3i",34690,J356="Mi NoteBook Ultra",57999,J356="Samsung Galaxy Go",36990,J356="Acer Aspire 3",38980)</f>
        <v>38980</v>
      </c>
      <c r="P356" t="s">
        <v>1029</v>
      </c>
    </row>
    <row r="357" spans="1:16" x14ac:dyDescent="0.25">
      <c r="A357">
        <v>22557</v>
      </c>
      <c r="B357" t="s">
        <v>217</v>
      </c>
      <c r="C357" t="s">
        <v>66</v>
      </c>
      <c r="D357" t="s">
        <v>1032</v>
      </c>
      <c r="E357" t="s">
        <v>1036</v>
      </c>
      <c r="F357" t="s">
        <v>1012</v>
      </c>
      <c r="G357" t="str">
        <f>UPPER(Table1[[#This Row],[State]])</f>
        <v>DELHI</v>
      </c>
      <c r="H357" t="s">
        <v>1017</v>
      </c>
      <c r="I357" t="s">
        <v>632</v>
      </c>
      <c r="J357" t="s">
        <v>1022</v>
      </c>
      <c r="K357">
        <v>5329</v>
      </c>
      <c r="L357" s="1">
        <v>44000</v>
      </c>
      <c r="M357" s="1">
        <v>44004</v>
      </c>
      <c r="N357">
        <v>1</v>
      </c>
      <c r="O357" s="4" cm="1">
        <f t="array" ref="O357">_xlfn.IFS(J357="Dell Inspiron 15",66989,J357="Lenovo IdeaPad Slim 3i",34690,J357="Mi NoteBook Ultra",57999,J357="Samsung Galaxy Go",36990,J357="Acer Aspire 3",38980)</f>
        <v>66989</v>
      </c>
      <c r="P357" t="s">
        <v>1029</v>
      </c>
    </row>
    <row r="358" spans="1:16" x14ac:dyDescent="0.25">
      <c r="A358">
        <v>13183</v>
      </c>
      <c r="B358" t="s">
        <v>382</v>
      </c>
      <c r="C358" t="s">
        <v>514</v>
      </c>
      <c r="D358" t="s">
        <v>1032</v>
      </c>
      <c r="E358" t="s">
        <v>1033</v>
      </c>
      <c r="F358" t="s">
        <v>1009</v>
      </c>
      <c r="G358" t="str">
        <f>UPPER(Table1[[#This Row],[State]])</f>
        <v>BIHAR</v>
      </c>
      <c r="H358" t="s">
        <v>1014</v>
      </c>
      <c r="I358" t="s">
        <v>633</v>
      </c>
      <c r="J358" t="s">
        <v>1024</v>
      </c>
      <c r="K358">
        <v>5374</v>
      </c>
      <c r="L358" s="1">
        <v>43965</v>
      </c>
      <c r="M358" s="1">
        <v>43966</v>
      </c>
      <c r="N358">
        <v>1</v>
      </c>
      <c r="O358" s="4" cm="1">
        <f t="array" ref="O358">_xlfn.IFS(J358="Dell Inspiron 15",66989,J358="Lenovo IdeaPad Slim 3i",34690,J358="Mi NoteBook Ultra",57999,J358="Samsung Galaxy Go",36990,J358="Acer Aspire 3",38980)</f>
        <v>57999</v>
      </c>
      <c r="P358" t="s">
        <v>1029</v>
      </c>
    </row>
    <row r="359" spans="1:16" x14ac:dyDescent="0.25">
      <c r="A359">
        <v>14866</v>
      </c>
      <c r="B359" t="s">
        <v>634</v>
      </c>
      <c r="C359" t="s">
        <v>395</v>
      </c>
      <c r="D359" t="s">
        <v>1032</v>
      </c>
      <c r="E359" t="s">
        <v>1034</v>
      </c>
      <c r="F359" t="s">
        <v>1010</v>
      </c>
      <c r="G359" t="str">
        <f>UPPER(Table1[[#This Row],[State]])</f>
        <v>PUDUCHERRY</v>
      </c>
      <c r="H359" t="s">
        <v>1015</v>
      </c>
      <c r="I359" t="s">
        <v>635</v>
      </c>
      <c r="J359" t="s">
        <v>1026</v>
      </c>
      <c r="K359">
        <v>5020</v>
      </c>
      <c r="L359" s="1">
        <v>43855</v>
      </c>
      <c r="M359" s="1">
        <v>43856</v>
      </c>
      <c r="N359">
        <v>4</v>
      </c>
      <c r="O359" s="4" cm="1">
        <f t="array" ref="O359">_xlfn.IFS(J359="Dell Inspiron 15",66989,J359="Lenovo IdeaPad Slim 3i",34690,J359="Mi NoteBook Ultra",57999,J359="Samsung Galaxy Go",36990,J359="Acer Aspire 3",38980)</f>
        <v>38980</v>
      </c>
      <c r="P359" t="s">
        <v>1029</v>
      </c>
    </row>
    <row r="360" spans="1:16" x14ac:dyDescent="0.25">
      <c r="A360">
        <v>13800</v>
      </c>
      <c r="B360" t="s">
        <v>376</v>
      </c>
      <c r="C360" t="s">
        <v>175</v>
      </c>
      <c r="D360" t="s">
        <v>1032</v>
      </c>
      <c r="E360" t="s">
        <v>1033</v>
      </c>
      <c r="F360" t="s">
        <v>1009</v>
      </c>
      <c r="G360" t="str">
        <f>UPPER(Table1[[#This Row],[State]])</f>
        <v>BIHAR</v>
      </c>
      <c r="H360" t="s">
        <v>1014</v>
      </c>
      <c r="I360" t="s">
        <v>636</v>
      </c>
      <c r="J360" t="s">
        <v>1022</v>
      </c>
      <c r="K360">
        <v>4693</v>
      </c>
      <c r="L360" s="1">
        <v>43832</v>
      </c>
      <c r="M360" s="1">
        <v>43834</v>
      </c>
      <c r="N360">
        <v>6</v>
      </c>
      <c r="O360" s="4" cm="1">
        <f t="array" ref="O360">_xlfn.IFS(J360="Dell Inspiron 15",66989,J360="Lenovo IdeaPad Slim 3i",34690,J360="Mi NoteBook Ultra",57999,J360="Samsung Galaxy Go",36990,J360="Acer Aspire 3",38980)</f>
        <v>66989</v>
      </c>
      <c r="P360" t="s">
        <v>1029</v>
      </c>
    </row>
    <row r="361" spans="1:16" x14ac:dyDescent="0.25">
      <c r="A361">
        <v>14617</v>
      </c>
      <c r="B361" t="s">
        <v>637</v>
      </c>
      <c r="C361" t="s">
        <v>125</v>
      </c>
      <c r="D361" t="s">
        <v>1032</v>
      </c>
      <c r="E361" t="s">
        <v>1035</v>
      </c>
      <c r="F361" t="s">
        <v>1011</v>
      </c>
      <c r="G361" t="str">
        <f>UPPER(Table1[[#This Row],[State]])</f>
        <v>GUJARAT</v>
      </c>
      <c r="H361" t="s">
        <v>1016</v>
      </c>
      <c r="I361" t="s">
        <v>638</v>
      </c>
      <c r="J361" t="s">
        <v>1023</v>
      </c>
      <c r="K361">
        <v>4873</v>
      </c>
      <c r="L361" s="1">
        <v>43832</v>
      </c>
      <c r="M361" s="1">
        <v>43833</v>
      </c>
      <c r="N361">
        <v>1</v>
      </c>
      <c r="O361" s="4" cm="1">
        <f t="array" ref="O361">_xlfn.IFS(J361="Dell Inspiron 15",66989,J361="Lenovo IdeaPad Slim 3i",34690,J361="Mi NoteBook Ultra",57999,J361="Samsung Galaxy Go",36990,J361="Acer Aspire 3",38980)</f>
        <v>34690</v>
      </c>
      <c r="P361" t="s">
        <v>1029</v>
      </c>
    </row>
    <row r="362" spans="1:16" x14ac:dyDescent="0.25">
      <c r="A362">
        <v>18023</v>
      </c>
      <c r="B362" t="s">
        <v>339</v>
      </c>
      <c r="C362" t="s">
        <v>311</v>
      </c>
      <c r="D362" t="s">
        <v>1032</v>
      </c>
      <c r="E362" t="s">
        <v>1033</v>
      </c>
      <c r="F362" t="s">
        <v>1009</v>
      </c>
      <c r="G362" t="str">
        <f>UPPER(Table1[[#This Row],[State]])</f>
        <v>BIHAR</v>
      </c>
      <c r="H362" t="s">
        <v>1014</v>
      </c>
      <c r="I362" t="s">
        <v>639</v>
      </c>
      <c r="J362" t="s">
        <v>1025</v>
      </c>
      <c r="K362">
        <v>5023</v>
      </c>
      <c r="L362" s="1">
        <v>43841</v>
      </c>
      <c r="M362" s="1">
        <v>43848</v>
      </c>
      <c r="N362">
        <v>8</v>
      </c>
      <c r="O362" s="4" cm="1">
        <f t="array" ref="O362">_xlfn.IFS(J362="Dell Inspiron 15",66989,J362="Lenovo IdeaPad Slim 3i",34690,J362="Mi NoteBook Ultra",57999,J362="Samsung Galaxy Go",36990,J362="Acer Aspire 3",38980)</f>
        <v>36990</v>
      </c>
      <c r="P362" t="s">
        <v>1029</v>
      </c>
    </row>
    <row r="363" spans="1:16" x14ac:dyDescent="0.25">
      <c r="A363">
        <v>20629</v>
      </c>
      <c r="B363" t="s">
        <v>169</v>
      </c>
      <c r="C363" t="s">
        <v>461</v>
      </c>
      <c r="D363" t="s">
        <v>1032</v>
      </c>
      <c r="E363" t="s">
        <v>1034</v>
      </c>
      <c r="F363" t="s">
        <v>1010</v>
      </c>
      <c r="G363" t="str">
        <f>UPPER(Table1[[#This Row],[State]])</f>
        <v>PUDUCHERRY</v>
      </c>
      <c r="H363" t="s">
        <v>1015</v>
      </c>
      <c r="I363" t="s">
        <v>640</v>
      </c>
      <c r="J363" t="s">
        <v>1022</v>
      </c>
      <c r="K363">
        <v>4819</v>
      </c>
      <c r="L363" s="1">
        <v>43833</v>
      </c>
      <c r="M363" s="1">
        <v>43835</v>
      </c>
      <c r="N363">
        <v>5</v>
      </c>
      <c r="O363" s="4" cm="1">
        <f t="array" ref="O363">_xlfn.IFS(J363="Dell Inspiron 15",66989,J363="Lenovo IdeaPad Slim 3i",34690,J363="Mi NoteBook Ultra",57999,J363="Samsung Galaxy Go",36990,J363="Acer Aspire 3",38980)</f>
        <v>66989</v>
      </c>
      <c r="P363" t="s">
        <v>1029</v>
      </c>
    </row>
    <row r="364" spans="1:16" x14ac:dyDescent="0.25">
      <c r="A364">
        <v>13154</v>
      </c>
      <c r="B364" t="s">
        <v>130</v>
      </c>
      <c r="C364" t="s">
        <v>47</v>
      </c>
      <c r="D364" t="s">
        <v>1032</v>
      </c>
      <c r="E364" t="s">
        <v>1033</v>
      </c>
      <c r="F364" t="s">
        <v>1009</v>
      </c>
      <c r="G364" t="str">
        <f>UPPER(Table1[[#This Row],[State]])</f>
        <v>BIHAR</v>
      </c>
      <c r="H364" t="s">
        <v>1014</v>
      </c>
      <c r="I364" t="s">
        <v>641</v>
      </c>
      <c r="J364" t="s">
        <v>1026</v>
      </c>
      <c r="K364">
        <v>5410</v>
      </c>
      <c r="L364" s="1">
        <v>43833</v>
      </c>
      <c r="M364" s="1">
        <v>43840</v>
      </c>
      <c r="N364">
        <v>4</v>
      </c>
      <c r="O364" s="4" cm="1">
        <f t="array" ref="O364">_xlfn.IFS(J364="Dell Inspiron 15",66989,J364="Lenovo IdeaPad Slim 3i",34690,J364="Mi NoteBook Ultra",57999,J364="Samsung Galaxy Go",36990,J364="Acer Aspire 3",38980)</f>
        <v>38980</v>
      </c>
      <c r="P364" t="s">
        <v>1029</v>
      </c>
    </row>
    <row r="365" spans="1:16" x14ac:dyDescent="0.25">
      <c r="A365">
        <v>25682</v>
      </c>
      <c r="B365" t="s">
        <v>449</v>
      </c>
      <c r="C365" t="s">
        <v>290</v>
      </c>
      <c r="D365" t="s">
        <v>1032</v>
      </c>
      <c r="E365" t="s">
        <v>1035</v>
      </c>
      <c r="F365" t="s">
        <v>1011</v>
      </c>
      <c r="G365" t="str">
        <f>UPPER(Table1[[#This Row],[State]])</f>
        <v>GUJARAT</v>
      </c>
      <c r="H365" t="s">
        <v>1016</v>
      </c>
      <c r="I365" t="s">
        <v>642</v>
      </c>
      <c r="J365" t="s">
        <v>1024</v>
      </c>
      <c r="K365">
        <v>4602</v>
      </c>
      <c r="L365" s="1">
        <v>43833</v>
      </c>
      <c r="M365" s="1">
        <v>43837</v>
      </c>
      <c r="N365">
        <v>8</v>
      </c>
      <c r="O365" s="4" cm="1">
        <f t="array" ref="O365">_xlfn.IFS(J365="Dell Inspiron 15",66989,J365="Lenovo IdeaPad Slim 3i",34690,J365="Mi NoteBook Ultra",57999,J365="Samsung Galaxy Go",36990,J365="Acer Aspire 3",38980)</f>
        <v>57999</v>
      </c>
      <c r="P365" t="s">
        <v>1029</v>
      </c>
    </row>
    <row r="366" spans="1:16" x14ac:dyDescent="0.25">
      <c r="A366">
        <v>18951</v>
      </c>
      <c r="B366" t="s">
        <v>138</v>
      </c>
      <c r="C366" t="s">
        <v>486</v>
      </c>
      <c r="D366" t="s">
        <v>1032</v>
      </c>
      <c r="E366" t="s">
        <v>1035</v>
      </c>
      <c r="F366" t="s">
        <v>1011</v>
      </c>
      <c r="G366" t="str">
        <f>UPPER(Table1[[#This Row],[State]])</f>
        <v>GUJARAT</v>
      </c>
      <c r="H366" t="s">
        <v>1016</v>
      </c>
      <c r="I366" t="s">
        <v>643</v>
      </c>
      <c r="J366" t="s">
        <v>1025</v>
      </c>
      <c r="K366">
        <v>4876</v>
      </c>
      <c r="L366" s="1">
        <v>43934</v>
      </c>
      <c r="M366" s="1">
        <v>43936</v>
      </c>
      <c r="N366">
        <v>7</v>
      </c>
      <c r="O366" s="4" cm="1">
        <f t="array" ref="O366">_xlfn.IFS(J366="Dell Inspiron 15",66989,J366="Lenovo IdeaPad Slim 3i",34690,J366="Mi NoteBook Ultra",57999,J366="Samsung Galaxy Go",36990,J366="Acer Aspire 3",38980)</f>
        <v>36990</v>
      </c>
      <c r="P366" t="s">
        <v>1029</v>
      </c>
    </row>
    <row r="367" spans="1:16" x14ac:dyDescent="0.25">
      <c r="A367">
        <v>15300</v>
      </c>
      <c r="B367" t="s">
        <v>376</v>
      </c>
      <c r="C367" t="s">
        <v>427</v>
      </c>
      <c r="D367" t="s">
        <v>1032</v>
      </c>
      <c r="E367" t="s">
        <v>1035</v>
      </c>
      <c r="F367" t="s">
        <v>1011</v>
      </c>
      <c r="G367" t="str">
        <f>UPPER(Table1[[#This Row],[State]])</f>
        <v>GUJARAT</v>
      </c>
      <c r="H367" t="s">
        <v>1016</v>
      </c>
      <c r="I367" t="s">
        <v>644</v>
      </c>
      <c r="J367" t="s">
        <v>1026</v>
      </c>
      <c r="K367">
        <v>4730</v>
      </c>
      <c r="L367" s="1">
        <v>43882</v>
      </c>
      <c r="M367" s="1">
        <v>43882</v>
      </c>
      <c r="N367">
        <v>9</v>
      </c>
      <c r="O367" s="4" cm="1">
        <f t="array" ref="O367">_xlfn.IFS(J367="Dell Inspiron 15",66989,J367="Lenovo IdeaPad Slim 3i",34690,J367="Mi NoteBook Ultra",57999,J367="Samsung Galaxy Go",36990,J367="Acer Aspire 3",38980)</f>
        <v>38980</v>
      </c>
      <c r="P367" t="s">
        <v>1029</v>
      </c>
    </row>
    <row r="368" spans="1:16" x14ac:dyDescent="0.25">
      <c r="A368">
        <v>20209</v>
      </c>
      <c r="B368" t="s">
        <v>645</v>
      </c>
      <c r="C368" t="s">
        <v>646</v>
      </c>
      <c r="D368" t="s">
        <v>1032</v>
      </c>
      <c r="E368" t="s">
        <v>1035</v>
      </c>
      <c r="F368" t="s">
        <v>1011</v>
      </c>
      <c r="G368" t="str">
        <f>UPPER(Table1[[#This Row],[State]])</f>
        <v>GUJARAT</v>
      </c>
      <c r="H368" t="s">
        <v>1016</v>
      </c>
      <c r="I368" t="s">
        <v>647</v>
      </c>
      <c r="J368" t="s">
        <v>1022</v>
      </c>
      <c r="K368">
        <v>5393</v>
      </c>
      <c r="L368" s="1">
        <v>43973</v>
      </c>
      <c r="M368" s="1">
        <v>43974</v>
      </c>
      <c r="N368">
        <v>9</v>
      </c>
      <c r="O368" s="4" cm="1">
        <f t="array" ref="O368">_xlfn.IFS(J368="Dell Inspiron 15",66989,J368="Lenovo IdeaPad Slim 3i",34690,J368="Mi NoteBook Ultra",57999,J368="Samsung Galaxy Go",36990,J368="Acer Aspire 3",38980)</f>
        <v>66989</v>
      </c>
      <c r="P368" t="s">
        <v>1029</v>
      </c>
    </row>
    <row r="369" spans="1:16" x14ac:dyDescent="0.25">
      <c r="A369">
        <v>24395</v>
      </c>
      <c r="B369" t="s">
        <v>576</v>
      </c>
      <c r="C369" t="s">
        <v>393</v>
      </c>
      <c r="D369" t="s">
        <v>1032</v>
      </c>
      <c r="E369" t="s">
        <v>1036</v>
      </c>
      <c r="F369" t="s">
        <v>1012</v>
      </c>
      <c r="G369" t="str">
        <f>UPPER(Table1[[#This Row],[State]])</f>
        <v>DELHI</v>
      </c>
      <c r="H369" t="s">
        <v>1017</v>
      </c>
      <c r="I369" t="s">
        <v>648</v>
      </c>
      <c r="J369" t="s">
        <v>1024</v>
      </c>
      <c r="K369">
        <v>4726</v>
      </c>
      <c r="L369" s="1">
        <v>43882</v>
      </c>
      <c r="M369" s="1">
        <v>43882</v>
      </c>
      <c r="N369">
        <v>5</v>
      </c>
      <c r="O369" s="4" cm="1">
        <f t="array" ref="O369">_xlfn.IFS(J369="Dell Inspiron 15",66989,J369="Lenovo IdeaPad Slim 3i",34690,J369="Mi NoteBook Ultra",57999,J369="Samsung Galaxy Go",36990,J369="Acer Aspire 3",38980)</f>
        <v>57999</v>
      </c>
      <c r="P369" t="s">
        <v>1029</v>
      </c>
    </row>
    <row r="370" spans="1:16" x14ac:dyDescent="0.25">
      <c r="A370">
        <v>23208</v>
      </c>
      <c r="B370" t="s">
        <v>434</v>
      </c>
      <c r="C370" t="s">
        <v>649</v>
      </c>
      <c r="D370" t="s">
        <v>1032</v>
      </c>
      <c r="E370" t="s">
        <v>1033</v>
      </c>
      <c r="F370" t="s">
        <v>1009</v>
      </c>
      <c r="G370" t="str">
        <f>UPPER(Table1[[#This Row],[State]])</f>
        <v>BIHAR</v>
      </c>
      <c r="H370" t="s">
        <v>1014</v>
      </c>
      <c r="I370" t="s">
        <v>650</v>
      </c>
      <c r="J370" t="s">
        <v>1026</v>
      </c>
      <c r="K370">
        <v>4913</v>
      </c>
      <c r="L370" s="1">
        <v>43973</v>
      </c>
      <c r="M370" s="1">
        <v>43973</v>
      </c>
      <c r="N370">
        <v>7</v>
      </c>
      <c r="O370" s="4" cm="1">
        <f t="array" ref="O370">_xlfn.IFS(J370="Dell Inspiron 15",66989,J370="Lenovo IdeaPad Slim 3i",34690,J370="Mi NoteBook Ultra",57999,J370="Samsung Galaxy Go",36990,J370="Acer Aspire 3",38980)</f>
        <v>38980</v>
      </c>
      <c r="P370" t="s">
        <v>1029</v>
      </c>
    </row>
    <row r="371" spans="1:16" x14ac:dyDescent="0.25">
      <c r="A371">
        <v>19965</v>
      </c>
      <c r="B371" t="s">
        <v>115</v>
      </c>
      <c r="C371" t="s">
        <v>585</v>
      </c>
      <c r="D371" t="s">
        <v>1032</v>
      </c>
      <c r="E371" t="s">
        <v>1034</v>
      </c>
      <c r="F371" t="s">
        <v>1010</v>
      </c>
      <c r="G371" t="str">
        <f>UPPER(Table1[[#This Row],[State]])</f>
        <v>PUDUCHERRY</v>
      </c>
      <c r="H371" t="s">
        <v>1015</v>
      </c>
      <c r="I371" t="s">
        <v>651</v>
      </c>
      <c r="J371" t="s">
        <v>1022</v>
      </c>
      <c r="K371">
        <v>4782</v>
      </c>
      <c r="L371" s="1">
        <v>43973</v>
      </c>
      <c r="M371" s="1">
        <v>43974</v>
      </c>
      <c r="N371">
        <v>5</v>
      </c>
      <c r="O371" s="4" cm="1">
        <f t="array" ref="O371">_xlfn.IFS(J371="Dell Inspiron 15",66989,J371="Lenovo IdeaPad Slim 3i",34690,J371="Mi NoteBook Ultra",57999,J371="Samsung Galaxy Go",36990,J371="Acer Aspire 3",38980)</f>
        <v>66989</v>
      </c>
      <c r="P371" t="s">
        <v>1029</v>
      </c>
    </row>
    <row r="372" spans="1:16" x14ac:dyDescent="0.25">
      <c r="A372">
        <v>24017</v>
      </c>
      <c r="B372" t="s">
        <v>133</v>
      </c>
      <c r="C372" t="s">
        <v>175</v>
      </c>
      <c r="D372" t="s">
        <v>1032</v>
      </c>
      <c r="E372" t="s">
        <v>1033</v>
      </c>
      <c r="F372" t="s">
        <v>1009</v>
      </c>
      <c r="G372" t="str">
        <f>UPPER(Table1[[#This Row],[State]])</f>
        <v>BIHAR</v>
      </c>
      <c r="H372" t="s">
        <v>1014</v>
      </c>
      <c r="I372" t="s">
        <v>652</v>
      </c>
      <c r="J372" t="s">
        <v>1023</v>
      </c>
      <c r="K372">
        <v>5271</v>
      </c>
      <c r="L372" s="1">
        <v>43873</v>
      </c>
      <c r="M372" s="1">
        <v>43874</v>
      </c>
      <c r="N372">
        <v>10</v>
      </c>
      <c r="O372" s="4" cm="1">
        <f t="array" ref="O372">_xlfn.IFS(J372="Dell Inspiron 15",66989,J372="Lenovo IdeaPad Slim 3i",34690,J372="Mi NoteBook Ultra",57999,J372="Samsung Galaxy Go",36990,J372="Acer Aspire 3",38980)</f>
        <v>34690</v>
      </c>
      <c r="P372" t="s">
        <v>1029</v>
      </c>
    </row>
    <row r="373" spans="1:16" x14ac:dyDescent="0.25">
      <c r="A373">
        <v>25354</v>
      </c>
      <c r="B373" t="s">
        <v>358</v>
      </c>
      <c r="C373" t="s">
        <v>80</v>
      </c>
      <c r="D373" t="s">
        <v>1032</v>
      </c>
      <c r="E373" t="s">
        <v>1035</v>
      </c>
      <c r="F373" t="s">
        <v>1011</v>
      </c>
      <c r="G373" t="str">
        <f>UPPER(Table1[[#This Row],[State]])</f>
        <v>GUJARAT</v>
      </c>
      <c r="H373" t="s">
        <v>1016</v>
      </c>
      <c r="I373" t="s">
        <v>653</v>
      </c>
      <c r="J373" t="s">
        <v>1024</v>
      </c>
      <c r="K373">
        <v>4668</v>
      </c>
      <c r="L373" s="1">
        <v>43873</v>
      </c>
      <c r="M373" s="1">
        <v>43876</v>
      </c>
      <c r="N373">
        <v>1</v>
      </c>
      <c r="O373" s="4" cm="1">
        <f t="array" ref="O373">_xlfn.IFS(J373="Dell Inspiron 15",66989,J373="Lenovo IdeaPad Slim 3i",34690,J373="Mi NoteBook Ultra",57999,J373="Samsung Galaxy Go",36990,J373="Acer Aspire 3",38980)</f>
        <v>57999</v>
      </c>
      <c r="P373" t="s">
        <v>1029</v>
      </c>
    </row>
    <row r="374" spans="1:16" x14ac:dyDescent="0.25">
      <c r="A374">
        <v>15902</v>
      </c>
      <c r="B374" t="s">
        <v>386</v>
      </c>
      <c r="C374" t="s">
        <v>161</v>
      </c>
      <c r="D374" t="s">
        <v>1032</v>
      </c>
      <c r="E374" t="s">
        <v>1035</v>
      </c>
      <c r="F374" t="s">
        <v>1011</v>
      </c>
      <c r="G374" t="str">
        <f>UPPER(Table1[[#This Row],[State]])</f>
        <v>GUJARAT</v>
      </c>
      <c r="H374" t="s">
        <v>1016</v>
      </c>
      <c r="I374" t="s">
        <v>654</v>
      </c>
      <c r="J374" t="s">
        <v>1025</v>
      </c>
      <c r="K374">
        <v>4577</v>
      </c>
      <c r="L374" s="1">
        <v>43930</v>
      </c>
      <c r="M374" s="1">
        <v>43932</v>
      </c>
      <c r="N374">
        <v>4</v>
      </c>
      <c r="O374" s="4" cm="1">
        <f t="array" ref="O374">_xlfn.IFS(J374="Dell Inspiron 15",66989,J374="Lenovo IdeaPad Slim 3i",34690,J374="Mi NoteBook Ultra",57999,J374="Samsung Galaxy Go",36990,J374="Acer Aspire 3",38980)</f>
        <v>36990</v>
      </c>
      <c r="P374" t="s">
        <v>1029</v>
      </c>
    </row>
    <row r="375" spans="1:16" x14ac:dyDescent="0.25">
      <c r="A375">
        <v>23474</v>
      </c>
      <c r="B375" t="s">
        <v>79</v>
      </c>
      <c r="C375" t="s">
        <v>38</v>
      </c>
      <c r="D375" t="s">
        <v>1032</v>
      </c>
      <c r="E375" t="s">
        <v>1036</v>
      </c>
      <c r="F375" t="s">
        <v>1012</v>
      </c>
      <c r="G375" t="str">
        <f>UPPER(Table1[[#This Row],[State]])</f>
        <v>DELHI</v>
      </c>
      <c r="H375" t="s">
        <v>1017</v>
      </c>
      <c r="I375" t="s">
        <v>655</v>
      </c>
      <c r="J375" t="s">
        <v>1026</v>
      </c>
      <c r="K375">
        <v>4923</v>
      </c>
      <c r="L375" s="1">
        <v>43930</v>
      </c>
      <c r="M375" s="1">
        <v>43930</v>
      </c>
      <c r="N375">
        <v>2</v>
      </c>
      <c r="O375" s="4" cm="1">
        <f t="array" ref="O375">_xlfn.IFS(J375="Dell Inspiron 15",66989,J375="Lenovo IdeaPad Slim 3i",34690,J375="Mi NoteBook Ultra",57999,J375="Samsung Galaxy Go",36990,J375="Acer Aspire 3",38980)</f>
        <v>38980</v>
      </c>
      <c r="P375" t="s">
        <v>1029</v>
      </c>
    </row>
    <row r="376" spans="1:16" x14ac:dyDescent="0.25">
      <c r="A376">
        <v>22204</v>
      </c>
      <c r="B376" t="s">
        <v>233</v>
      </c>
      <c r="C376" t="s">
        <v>425</v>
      </c>
      <c r="D376" t="s">
        <v>1032</v>
      </c>
      <c r="E376" t="s">
        <v>1033</v>
      </c>
      <c r="F376" t="s">
        <v>1009</v>
      </c>
      <c r="G376" t="str">
        <f>UPPER(Table1[[#This Row],[State]])</f>
        <v>BIHAR</v>
      </c>
      <c r="H376" t="s">
        <v>1014</v>
      </c>
      <c r="I376" t="s">
        <v>656</v>
      </c>
      <c r="J376" t="s">
        <v>1022</v>
      </c>
      <c r="K376">
        <v>4651</v>
      </c>
      <c r="L376" s="1">
        <v>43930</v>
      </c>
      <c r="M376" s="1">
        <v>43931</v>
      </c>
      <c r="N376">
        <v>8</v>
      </c>
      <c r="O376" s="4" cm="1">
        <f t="array" ref="O376">_xlfn.IFS(J376="Dell Inspiron 15",66989,J376="Lenovo IdeaPad Slim 3i",34690,J376="Mi NoteBook Ultra",57999,J376="Samsung Galaxy Go",36990,J376="Acer Aspire 3",38980)</f>
        <v>66989</v>
      </c>
      <c r="P376" t="s">
        <v>1029</v>
      </c>
    </row>
    <row r="377" spans="1:16" x14ac:dyDescent="0.25">
      <c r="A377">
        <v>20606</v>
      </c>
      <c r="B377" t="s">
        <v>89</v>
      </c>
      <c r="C377" t="s">
        <v>354</v>
      </c>
      <c r="D377" t="s">
        <v>1032</v>
      </c>
      <c r="E377" t="s">
        <v>1034</v>
      </c>
      <c r="F377" t="s">
        <v>1010</v>
      </c>
      <c r="G377" t="str">
        <f>UPPER(Table1[[#This Row],[State]])</f>
        <v>PUDUCHERRY</v>
      </c>
      <c r="H377" t="s">
        <v>1015</v>
      </c>
      <c r="I377" t="s">
        <v>657</v>
      </c>
      <c r="J377" t="s">
        <v>1024</v>
      </c>
      <c r="K377">
        <v>5260</v>
      </c>
      <c r="L377" s="1">
        <v>43833</v>
      </c>
      <c r="M377" s="1">
        <v>43835</v>
      </c>
      <c r="N377">
        <v>6</v>
      </c>
      <c r="O377" s="4" cm="1">
        <f t="array" ref="O377">_xlfn.IFS(J377="Dell Inspiron 15",66989,J377="Lenovo IdeaPad Slim 3i",34690,J377="Mi NoteBook Ultra",57999,J377="Samsung Galaxy Go",36990,J377="Acer Aspire 3",38980)</f>
        <v>57999</v>
      </c>
      <c r="P377" t="s">
        <v>1029</v>
      </c>
    </row>
    <row r="378" spans="1:16" x14ac:dyDescent="0.25">
      <c r="A378">
        <v>15840</v>
      </c>
      <c r="B378" t="s">
        <v>120</v>
      </c>
      <c r="C378" t="s">
        <v>425</v>
      </c>
      <c r="D378" t="s">
        <v>1032</v>
      </c>
      <c r="E378" t="s">
        <v>1033</v>
      </c>
      <c r="F378" t="s">
        <v>1009</v>
      </c>
      <c r="G378" t="str">
        <f>UPPER(Table1[[#This Row],[State]])</f>
        <v>BIHAR</v>
      </c>
      <c r="H378" t="s">
        <v>1014</v>
      </c>
      <c r="I378" t="s">
        <v>658</v>
      </c>
      <c r="J378" t="s">
        <v>1025</v>
      </c>
      <c r="K378">
        <v>4719</v>
      </c>
      <c r="L378" s="1">
        <v>43920</v>
      </c>
      <c r="M378" s="1">
        <v>43922</v>
      </c>
      <c r="N378">
        <v>3</v>
      </c>
      <c r="O378" s="4" cm="1">
        <f t="array" ref="O378">_xlfn.IFS(J378="Dell Inspiron 15",66989,J378="Lenovo IdeaPad Slim 3i",34690,J378="Mi NoteBook Ultra",57999,J378="Samsung Galaxy Go",36990,J378="Acer Aspire 3",38980)</f>
        <v>36990</v>
      </c>
      <c r="P378" t="s">
        <v>1029</v>
      </c>
    </row>
    <row r="379" spans="1:16" x14ac:dyDescent="0.25">
      <c r="A379">
        <v>23814</v>
      </c>
      <c r="B379" t="s">
        <v>40</v>
      </c>
      <c r="C379" t="s">
        <v>220</v>
      </c>
      <c r="D379" t="s">
        <v>1032</v>
      </c>
      <c r="E379" t="s">
        <v>1035</v>
      </c>
      <c r="F379" t="s">
        <v>1011</v>
      </c>
      <c r="G379" t="str">
        <f>UPPER(Table1[[#This Row],[State]])</f>
        <v>GUJARAT</v>
      </c>
      <c r="H379" t="s">
        <v>1016</v>
      </c>
      <c r="I379" t="s">
        <v>659</v>
      </c>
      <c r="J379" t="s">
        <v>1026</v>
      </c>
      <c r="K379">
        <v>5143</v>
      </c>
      <c r="L379" s="1">
        <v>43840</v>
      </c>
      <c r="M379" s="1">
        <v>43841</v>
      </c>
      <c r="N379">
        <v>2</v>
      </c>
      <c r="O379" s="4" cm="1">
        <f t="array" ref="O379">_xlfn.IFS(J379="Dell Inspiron 15",66989,J379="Lenovo IdeaPad Slim 3i",34690,J379="Mi NoteBook Ultra",57999,J379="Samsung Galaxy Go",36990,J379="Acer Aspire 3",38980)</f>
        <v>38980</v>
      </c>
      <c r="P379" t="s">
        <v>1029</v>
      </c>
    </row>
    <row r="380" spans="1:16" x14ac:dyDescent="0.25">
      <c r="A380">
        <v>21507</v>
      </c>
      <c r="B380" t="s">
        <v>545</v>
      </c>
      <c r="C380" t="s">
        <v>80</v>
      </c>
      <c r="D380" t="s">
        <v>1032</v>
      </c>
      <c r="E380" t="s">
        <v>1035</v>
      </c>
      <c r="F380" t="s">
        <v>1011</v>
      </c>
      <c r="G380" t="str">
        <f>UPPER(Table1[[#This Row],[State]])</f>
        <v>GUJARAT</v>
      </c>
      <c r="H380" t="s">
        <v>1016</v>
      </c>
      <c r="I380" t="s">
        <v>660</v>
      </c>
      <c r="J380" t="s">
        <v>1022</v>
      </c>
      <c r="K380">
        <v>5198</v>
      </c>
      <c r="L380" s="1">
        <v>43920</v>
      </c>
      <c r="M380" s="1">
        <v>43922</v>
      </c>
      <c r="N380">
        <v>10</v>
      </c>
      <c r="O380" s="4" cm="1">
        <f t="array" ref="O380">_xlfn.IFS(J380="Dell Inspiron 15",66989,J380="Lenovo IdeaPad Slim 3i",34690,J380="Mi NoteBook Ultra",57999,J380="Samsung Galaxy Go",36990,J380="Acer Aspire 3",38980)</f>
        <v>66989</v>
      </c>
      <c r="P380" t="s">
        <v>1029</v>
      </c>
    </row>
    <row r="381" spans="1:16" x14ac:dyDescent="0.25">
      <c r="A381">
        <v>23125</v>
      </c>
      <c r="B381" t="s">
        <v>19</v>
      </c>
      <c r="C381" t="s">
        <v>649</v>
      </c>
      <c r="D381" t="s">
        <v>1032</v>
      </c>
      <c r="E381" t="s">
        <v>1035</v>
      </c>
      <c r="F381" t="s">
        <v>1011</v>
      </c>
      <c r="G381" t="str">
        <f>UPPER(Table1[[#This Row],[State]])</f>
        <v>GUJARAT</v>
      </c>
      <c r="H381" t="s">
        <v>1016</v>
      </c>
      <c r="I381" t="s">
        <v>661</v>
      </c>
      <c r="J381" t="s">
        <v>1024</v>
      </c>
      <c r="K381">
        <v>4947</v>
      </c>
      <c r="L381" s="1">
        <v>43923</v>
      </c>
      <c r="M381" s="1">
        <v>43925</v>
      </c>
      <c r="N381">
        <v>7</v>
      </c>
      <c r="O381" s="4" cm="1">
        <f t="array" ref="O381">_xlfn.IFS(J381="Dell Inspiron 15",66989,J381="Lenovo IdeaPad Slim 3i",34690,J381="Mi NoteBook Ultra",57999,J381="Samsung Galaxy Go",36990,J381="Acer Aspire 3",38980)</f>
        <v>57999</v>
      </c>
      <c r="P381" t="s">
        <v>1029</v>
      </c>
    </row>
    <row r="382" spans="1:16" x14ac:dyDescent="0.25">
      <c r="A382">
        <v>16616</v>
      </c>
      <c r="B382" t="s">
        <v>404</v>
      </c>
      <c r="C382" t="s">
        <v>66</v>
      </c>
      <c r="D382" t="s">
        <v>1032</v>
      </c>
      <c r="E382" t="s">
        <v>1035</v>
      </c>
      <c r="F382" t="s">
        <v>1011</v>
      </c>
      <c r="G382" t="str">
        <f>UPPER(Table1[[#This Row],[State]])</f>
        <v>GUJARAT</v>
      </c>
      <c r="H382" t="s">
        <v>1016</v>
      </c>
      <c r="I382" t="s">
        <v>662</v>
      </c>
      <c r="J382" t="s">
        <v>1026</v>
      </c>
      <c r="K382">
        <v>4887</v>
      </c>
      <c r="L382" s="1">
        <v>43923</v>
      </c>
      <c r="M382" s="1">
        <v>43925</v>
      </c>
      <c r="N382">
        <v>3</v>
      </c>
      <c r="O382" s="4" cm="1">
        <f t="array" ref="O382">_xlfn.IFS(J382="Dell Inspiron 15",66989,J382="Lenovo IdeaPad Slim 3i",34690,J382="Mi NoteBook Ultra",57999,J382="Samsung Galaxy Go",36990,J382="Acer Aspire 3",38980)</f>
        <v>38980</v>
      </c>
      <c r="P382" t="s">
        <v>1029</v>
      </c>
    </row>
    <row r="383" spans="1:16" x14ac:dyDescent="0.25">
      <c r="A383">
        <v>20193</v>
      </c>
      <c r="B383" t="s">
        <v>432</v>
      </c>
      <c r="C383" t="s">
        <v>52</v>
      </c>
      <c r="D383" t="s">
        <v>1032</v>
      </c>
      <c r="E383" t="s">
        <v>1036</v>
      </c>
      <c r="F383" t="s">
        <v>1012</v>
      </c>
      <c r="G383" t="str">
        <f>UPPER(Table1[[#This Row],[State]])</f>
        <v>DELHI</v>
      </c>
      <c r="H383" t="s">
        <v>1017</v>
      </c>
      <c r="I383" t="s">
        <v>663</v>
      </c>
      <c r="J383" t="s">
        <v>1022</v>
      </c>
      <c r="K383">
        <v>5321</v>
      </c>
      <c r="L383" s="1">
        <v>43948</v>
      </c>
      <c r="M383" s="1">
        <v>43949</v>
      </c>
      <c r="N383">
        <v>1</v>
      </c>
      <c r="O383" s="4" cm="1">
        <f t="array" ref="O383">_xlfn.IFS(J383="Dell Inspiron 15",66989,J383="Lenovo IdeaPad Slim 3i",34690,J383="Mi NoteBook Ultra",57999,J383="Samsung Galaxy Go",36990,J383="Acer Aspire 3",38980)</f>
        <v>66989</v>
      </c>
      <c r="P383" t="s">
        <v>1029</v>
      </c>
    </row>
    <row r="384" spans="1:16" x14ac:dyDescent="0.25">
      <c r="A384">
        <v>12920</v>
      </c>
      <c r="B384" t="s">
        <v>235</v>
      </c>
      <c r="C384" t="s">
        <v>664</v>
      </c>
      <c r="D384" t="s">
        <v>1032</v>
      </c>
      <c r="E384" t="s">
        <v>1033</v>
      </c>
      <c r="F384" t="s">
        <v>1009</v>
      </c>
      <c r="G384" t="str">
        <f>UPPER(Table1[[#This Row],[State]])</f>
        <v>BIHAR</v>
      </c>
      <c r="H384" t="s">
        <v>1014</v>
      </c>
      <c r="I384" t="s">
        <v>665</v>
      </c>
      <c r="J384" t="s">
        <v>1023</v>
      </c>
      <c r="K384">
        <v>5087</v>
      </c>
      <c r="L384" s="1">
        <v>43846</v>
      </c>
      <c r="M384" s="1">
        <v>43848</v>
      </c>
      <c r="N384">
        <v>2</v>
      </c>
      <c r="O384" s="4" cm="1">
        <f t="array" ref="O384">_xlfn.IFS(J384="Dell Inspiron 15",66989,J384="Lenovo IdeaPad Slim 3i",34690,J384="Mi NoteBook Ultra",57999,J384="Samsung Galaxy Go",36990,J384="Acer Aspire 3",38980)</f>
        <v>34690</v>
      </c>
      <c r="P384" t="s">
        <v>1029</v>
      </c>
    </row>
    <row r="385" spans="1:16" x14ac:dyDescent="0.25">
      <c r="A385">
        <v>15015</v>
      </c>
      <c r="B385" t="s">
        <v>103</v>
      </c>
      <c r="C385" t="s">
        <v>666</v>
      </c>
      <c r="D385" t="s">
        <v>1032</v>
      </c>
      <c r="E385" t="s">
        <v>1034</v>
      </c>
      <c r="F385" t="s">
        <v>1010</v>
      </c>
      <c r="G385" t="str">
        <f>UPPER(Table1[[#This Row],[State]])</f>
        <v>PUDUCHERRY</v>
      </c>
      <c r="H385" t="s">
        <v>1015</v>
      </c>
      <c r="I385" t="s">
        <v>667</v>
      </c>
      <c r="J385" t="s">
        <v>1025</v>
      </c>
      <c r="K385">
        <v>4712</v>
      </c>
      <c r="L385" s="1">
        <v>43847</v>
      </c>
      <c r="M385" s="1">
        <v>43851</v>
      </c>
      <c r="N385">
        <v>10</v>
      </c>
      <c r="O385" s="4" cm="1">
        <f t="array" ref="O385">_xlfn.IFS(J385="Dell Inspiron 15",66989,J385="Lenovo IdeaPad Slim 3i",34690,J385="Mi NoteBook Ultra",57999,J385="Samsung Galaxy Go",36990,J385="Acer Aspire 3",38980)</f>
        <v>36990</v>
      </c>
      <c r="P385" t="s">
        <v>1029</v>
      </c>
    </row>
    <row r="386" spans="1:16" x14ac:dyDescent="0.25">
      <c r="A386">
        <v>14124</v>
      </c>
      <c r="B386" t="s">
        <v>551</v>
      </c>
      <c r="C386" t="s">
        <v>95</v>
      </c>
      <c r="D386" t="s">
        <v>1032</v>
      </c>
      <c r="E386" t="s">
        <v>1033</v>
      </c>
      <c r="F386" t="s">
        <v>1009</v>
      </c>
      <c r="G386" t="str">
        <f>UPPER(Table1[[#This Row],[State]])</f>
        <v>BIHAR</v>
      </c>
      <c r="H386" t="s">
        <v>1014</v>
      </c>
      <c r="I386" t="s">
        <v>668</v>
      </c>
      <c r="J386" t="s">
        <v>1022</v>
      </c>
      <c r="K386">
        <v>5089</v>
      </c>
      <c r="L386" s="1">
        <v>43984</v>
      </c>
      <c r="M386" s="1">
        <v>43984</v>
      </c>
      <c r="N386">
        <v>4</v>
      </c>
      <c r="O386" s="4" cm="1">
        <f t="array" ref="O386">_xlfn.IFS(J386="Dell Inspiron 15",66989,J386="Lenovo IdeaPad Slim 3i",34690,J386="Mi NoteBook Ultra",57999,J386="Samsung Galaxy Go",36990,J386="Acer Aspire 3",38980)</f>
        <v>66989</v>
      </c>
      <c r="P386" t="s">
        <v>1029</v>
      </c>
    </row>
    <row r="387" spans="1:16" x14ac:dyDescent="0.25">
      <c r="A387">
        <v>22928</v>
      </c>
      <c r="B387" t="s">
        <v>46</v>
      </c>
      <c r="C387" t="s">
        <v>142</v>
      </c>
      <c r="D387" t="s">
        <v>1032</v>
      </c>
      <c r="E387" t="s">
        <v>1035</v>
      </c>
      <c r="F387" t="s">
        <v>1011</v>
      </c>
      <c r="G387" t="str">
        <f>UPPER(Table1[[#This Row],[State]])</f>
        <v>GUJARAT</v>
      </c>
      <c r="H387" t="s">
        <v>1016</v>
      </c>
      <c r="I387" t="s">
        <v>669</v>
      </c>
      <c r="J387" t="s">
        <v>1026</v>
      </c>
      <c r="K387">
        <v>4860</v>
      </c>
      <c r="L387" s="1">
        <v>43984</v>
      </c>
      <c r="M387" s="1">
        <v>43984</v>
      </c>
      <c r="N387">
        <v>1</v>
      </c>
      <c r="O387" s="4" cm="1">
        <f t="array" ref="O387">_xlfn.IFS(J387="Dell Inspiron 15",66989,J387="Lenovo IdeaPad Slim 3i",34690,J387="Mi NoteBook Ultra",57999,J387="Samsung Galaxy Go",36990,J387="Acer Aspire 3",38980)</f>
        <v>38980</v>
      </c>
      <c r="P387" t="s">
        <v>1029</v>
      </c>
    </row>
    <row r="388" spans="1:16" x14ac:dyDescent="0.25">
      <c r="A388">
        <v>16097</v>
      </c>
      <c r="B388" t="s">
        <v>670</v>
      </c>
      <c r="C388" t="s">
        <v>23</v>
      </c>
      <c r="D388" t="s">
        <v>1032</v>
      </c>
      <c r="E388" t="s">
        <v>1035</v>
      </c>
      <c r="F388" t="s">
        <v>1011</v>
      </c>
      <c r="G388" t="str">
        <f>UPPER(Table1[[#This Row],[State]])</f>
        <v>GUJARAT</v>
      </c>
      <c r="H388" t="s">
        <v>1016</v>
      </c>
      <c r="I388" t="s">
        <v>671</v>
      </c>
      <c r="J388" t="s">
        <v>1024</v>
      </c>
      <c r="K388">
        <v>4971</v>
      </c>
      <c r="L388" s="1">
        <v>43963</v>
      </c>
      <c r="M388" s="1">
        <v>43964</v>
      </c>
      <c r="N388">
        <v>2</v>
      </c>
      <c r="O388" s="4" cm="1">
        <f t="array" ref="O388">_xlfn.IFS(J388="Dell Inspiron 15",66989,J388="Lenovo IdeaPad Slim 3i",34690,J388="Mi NoteBook Ultra",57999,J388="Samsung Galaxy Go",36990,J388="Acer Aspire 3",38980)</f>
        <v>57999</v>
      </c>
      <c r="P388" t="s">
        <v>1029</v>
      </c>
    </row>
    <row r="389" spans="1:16" x14ac:dyDescent="0.25">
      <c r="A389">
        <v>24522</v>
      </c>
      <c r="B389" t="s">
        <v>264</v>
      </c>
      <c r="C389" t="s">
        <v>474</v>
      </c>
      <c r="D389" t="s">
        <v>1032</v>
      </c>
      <c r="E389" t="s">
        <v>1035</v>
      </c>
      <c r="F389" t="s">
        <v>1011</v>
      </c>
      <c r="G389" t="str">
        <f>UPPER(Table1[[#This Row],[State]])</f>
        <v>GUJARAT</v>
      </c>
      <c r="H389" t="s">
        <v>1016</v>
      </c>
      <c r="I389" t="s">
        <v>672</v>
      </c>
      <c r="J389" t="s">
        <v>1025</v>
      </c>
      <c r="K389">
        <v>5093</v>
      </c>
      <c r="L389" s="1">
        <v>43929</v>
      </c>
      <c r="M389" s="1">
        <v>43930</v>
      </c>
      <c r="N389">
        <v>4</v>
      </c>
      <c r="O389" s="4" cm="1">
        <f t="array" ref="O389">_xlfn.IFS(J389="Dell Inspiron 15",66989,J389="Lenovo IdeaPad Slim 3i",34690,J389="Mi NoteBook Ultra",57999,J389="Samsung Galaxy Go",36990,J389="Acer Aspire 3",38980)</f>
        <v>36990</v>
      </c>
      <c r="P389" t="s">
        <v>1029</v>
      </c>
    </row>
    <row r="390" spans="1:16" x14ac:dyDescent="0.25">
      <c r="A390">
        <v>21663</v>
      </c>
      <c r="B390" t="s">
        <v>673</v>
      </c>
      <c r="C390" t="s">
        <v>205</v>
      </c>
      <c r="D390" t="s">
        <v>1032</v>
      </c>
      <c r="E390" t="s">
        <v>1036</v>
      </c>
      <c r="F390" t="s">
        <v>1012</v>
      </c>
      <c r="G390" t="str">
        <f>UPPER(Table1[[#This Row],[State]])</f>
        <v>DELHI</v>
      </c>
      <c r="H390" t="s">
        <v>1017</v>
      </c>
      <c r="I390" t="s">
        <v>674</v>
      </c>
      <c r="J390" t="s">
        <v>1026</v>
      </c>
      <c r="K390">
        <v>5382</v>
      </c>
      <c r="L390" s="1">
        <v>43979</v>
      </c>
      <c r="M390" s="1">
        <v>43979</v>
      </c>
      <c r="N390">
        <v>6</v>
      </c>
      <c r="O390" s="4" cm="1">
        <f t="array" ref="O390">_xlfn.IFS(J390="Dell Inspiron 15",66989,J390="Lenovo IdeaPad Slim 3i",34690,J390="Mi NoteBook Ultra",57999,J390="Samsung Galaxy Go",36990,J390="Acer Aspire 3",38980)</f>
        <v>38980</v>
      </c>
      <c r="P390" t="s">
        <v>1029</v>
      </c>
    </row>
    <row r="391" spans="1:16" x14ac:dyDescent="0.25">
      <c r="A391">
        <v>14535</v>
      </c>
      <c r="B391" t="s">
        <v>432</v>
      </c>
      <c r="C391" t="s">
        <v>38</v>
      </c>
      <c r="D391" t="s">
        <v>1032</v>
      </c>
      <c r="E391" t="s">
        <v>1035</v>
      </c>
      <c r="F391" t="s">
        <v>1011</v>
      </c>
      <c r="G391" t="str">
        <f>UPPER(Table1[[#This Row],[State]])</f>
        <v>GUJARAT</v>
      </c>
      <c r="H391" t="s">
        <v>1016</v>
      </c>
      <c r="I391" t="s">
        <v>675</v>
      </c>
      <c r="J391" t="s">
        <v>1022</v>
      </c>
      <c r="K391">
        <v>4695</v>
      </c>
      <c r="L391" s="1">
        <v>43873</v>
      </c>
      <c r="M391" s="1">
        <v>43876</v>
      </c>
      <c r="N391">
        <v>8</v>
      </c>
      <c r="O391" s="4" cm="1">
        <f t="array" ref="O391">_xlfn.IFS(J391="Dell Inspiron 15",66989,J391="Lenovo IdeaPad Slim 3i",34690,J391="Mi NoteBook Ultra",57999,J391="Samsung Galaxy Go",36990,J391="Acer Aspire 3",38980)</f>
        <v>66989</v>
      </c>
      <c r="P391" t="s">
        <v>1029</v>
      </c>
    </row>
    <row r="392" spans="1:16" x14ac:dyDescent="0.25">
      <c r="A392">
        <v>22169</v>
      </c>
      <c r="B392" t="s">
        <v>216</v>
      </c>
      <c r="C392" t="s">
        <v>508</v>
      </c>
      <c r="D392" t="s">
        <v>1032</v>
      </c>
      <c r="E392" t="s">
        <v>1035</v>
      </c>
      <c r="F392" t="s">
        <v>1011</v>
      </c>
      <c r="G392" t="str">
        <f>UPPER(Table1[[#This Row],[State]])</f>
        <v>GUJARAT</v>
      </c>
      <c r="H392" t="s">
        <v>1016</v>
      </c>
      <c r="I392" t="s">
        <v>676</v>
      </c>
      <c r="J392" t="s">
        <v>1024</v>
      </c>
      <c r="K392">
        <v>5210</v>
      </c>
      <c r="L392" s="1">
        <v>43873</v>
      </c>
      <c r="M392" s="1">
        <v>43875</v>
      </c>
      <c r="N392">
        <v>5</v>
      </c>
      <c r="O392" s="4" cm="1">
        <f t="array" ref="O392">_xlfn.IFS(J392="Dell Inspiron 15",66989,J392="Lenovo IdeaPad Slim 3i",34690,J392="Mi NoteBook Ultra",57999,J392="Samsung Galaxy Go",36990,J392="Acer Aspire 3",38980)</f>
        <v>57999</v>
      </c>
      <c r="P392" t="s">
        <v>1029</v>
      </c>
    </row>
    <row r="393" spans="1:16" x14ac:dyDescent="0.25">
      <c r="A393">
        <v>14512</v>
      </c>
      <c r="B393" t="s">
        <v>629</v>
      </c>
      <c r="C393" t="s">
        <v>251</v>
      </c>
      <c r="D393" t="s">
        <v>1032</v>
      </c>
      <c r="E393" t="s">
        <v>1036</v>
      </c>
      <c r="F393" t="s">
        <v>1012</v>
      </c>
      <c r="G393" t="str">
        <f>UPPER(Table1[[#This Row],[State]])</f>
        <v>DELHI</v>
      </c>
      <c r="H393" t="s">
        <v>1017</v>
      </c>
      <c r="I393" t="s">
        <v>677</v>
      </c>
      <c r="J393" t="s">
        <v>1026</v>
      </c>
      <c r="K393">
        <v>4916</v>
      </c>
      <c r="L393" s="1">
        <v>43966</v>
      </c>
      <c r="M393" s="1">
        <v>43967</v>
      </c>
      <c r="N393">
        <v>1</v>
      </c>
      <c r="O393" s="4" cm="1">
        <f t="array" ref="O393">_xlfn.IFS(J393="Dell Inspiron 15",66989,J393="Lenovo IdeaPad Slim 3i",34690,J393="Mi NoteBook Ultra",57999,J393="Samsung Galaxy Go",36990,J393="Acer Aspire 3",38980)</f>
        <v>38980</v>
      </c>
      <c r="P393" t="s">
        <v>1029</v>
      </c>
    </row>
    <row r="394" spans="1:16" x14ac:dyDescent="0.25">
      <c r="A394">
        <v>24325</v>
      </c>
      <c r="B394" t="s">
        <v>187</v>
      </c>
      <c r="C394" t="s">
        <v>87</v>
      </c>
      <c r="D394" t="s">
        <v>1032</v>
      </c>
      <c r="E394" t="s">
        <v>1036</v>
      </c>
      <c r="F394" t="s">
        <v>1012</v>
      </c>
      <c r="G394" t="str">
        <f>UPPER(Table1[[#This Row],[State]])</f>
        <v>DELHI</v>
      </c>
      <c r="H394" t="s">
        <v>1017</v>
      </c>
      <c r="I394" t="s">
        <v>678</v>
      </c>
      <c r="J394" t="s">
        <v>1022</v>
      </c>
      <c r="K394">
        <v>4903</v>
      </c>
      <c r="L394" s="1">
        <v>43972</v>
      </c>
      <c r="M394" s="1">
        <v>43974</v>
      </c>
      <c r="N394">
        <v>5</v>
      </c>
      <c r="O394" s="4" cm="1">
        <f t="array" ref="O394">_xlfn.IFS(J394="Dell Inspiron 15",66989,J394="Lenovo IdeaPad Slim 3i",34690,J394="Mi NoteBook Ultra",57999,J394="Samsung Galaxy Go",36990,J394="Acer Aspire 3",38980)</f>
        <v>66989</v>
      </c>
      <c r="P394" t="s">
        <v>1029</v>
      </c>
    </row>
    <row r="395" spans="1:16" x14ac:dyDescent="0.25">
      <c r="A395">
        <v>18558</v>
      </c>
      <c r="B395" t="s">
        <v>51</v>
      </c>
      <c r="C395" t="s">
        <v>349</v>
      </c>
      <c r="D395" t="s">
        <v>1032</v>
      </c>
      <c r="E395" t="s">
        <v>1033</v>
      </c>
      <c r="F395" t="s">
        <v>1009</v>
      </c>
      <c r="G395" t="str">
        <f>UPPER(Table1[[#This Row],[State]])</f>
        <v>BIHAR</v>
      </c>
      <c r="H395" t="s">
        <v>1014</v>
      </c>
      <c r="I395" t="s">
        <v>679</v>
      </c>
      <c r="J395" t="s">
        <v>1023</v>
      </c>
      <c r="K395">
        <v>5429</v>
      </c>
      <c r="L395" s="1">
        <v>43966</v>
      </c>
      <c r="M395" s="1">
        <v>43967</v>
      </c>
      <c r="N395">
        <v>4</v>
      </c>
      <c r="O395" s="4" cm="1">
        <f t="array" ref="O395">_xlfn.IFS(J395="Dell Inspiron 15",66989,J395="Lenovo IdeaPad Slim 3i",34690,J395="Mi NoteBook Ultra",57999,J395="Samsung Galaxy Go",36990,J395="Acer Aspire 3",38980)</f>
        <v>34690</v>
      </c>
      <c r="P395" t="s">
        <v>1029</v>
      </c>
    </row>
    <row r="396" spans="1:16" x14ac:dyDescent="0.25">
      <c r="A396">
        <v>13240</v>
      </c>
      <c r="B396" t="s">
        <v>670</v>
      </c>
      <c r="C396" t="s">
        <v>302</v>
      </c>
      <c r="D396" t="s">
        <v>1032</v>
      </c>
      <c r="E396" t="s">
        <v>1034</v>
      </c>
      <c r="F396" t="s">
        <v>1010</v>
      </c>
      <c r="G396" t="str">
        <f>UPPER(Table1[[#This Row],[State]])</f>
        <v>PUDUCHERRY</v>
      </c>
      <c r="H396" t="s">
        <v>1015</v>
      </c>
      <c r="I396" t="s">
        <v>680</v>
      </c>
      <c r="J396" t="s">
        <v>1024</v>
      </c>
      <c r="K396">
        <v>5456</v>
      </c>
      <c r="L396" s="1">
        <v>43972</v>
      </c>
      <c r="M396" s="1">
        <v>43973</v>
      </c>
      <c r="N396">
        <v>2</v>
      </c>
      <c r="O396" s="4" cm="1">
        <f t="array" ref="O396">_xlfn.IFS(J396="Dell Inspiron 15",66989,J396="Lenovo IdeaPad Slim 3i",34690,J396="Mi NoteBook Ultra",57999,J396="Samsung Galaxy Go",36990,J396="Acer Aspire 3",38980)</f>
        <v>57999</v>
      </c>
      <c r="P396" t="s">
        <v>1029</v>
      </c>
    </row>
    <row r="397" spans="1:16" x14ac:dyDescent="0.25">
      <c r="A397">
        <v>13132</v>
      </c>
      <c r="B397" t="s">
        <v>222</v>
      </c>
      <c r="C397" t="s">
        <v>41</v>
      </c>
      <c r="D397" t="s">
        <v>1032</v>
      </c>
      <c r="E397" t="s">
        <v>1033</v>
      </c>
      <c r="F397" t="s">
        <v>1009</v>
      </c>
      <c r="G397" t="str">
        <f>UPPER(Table1[[#This Row],[State]])</f>
        <v>BIHAR</v>
      </c>
      <c r="H397" t="s">
        <v>1014</v>
      </c>
      <c r="I397" t="s">
        <v>681</v>
      </c>
      <c r="J397" t="s">
        <v>1025</v>
      </c>
      <c r="K397">
        <v>5260</v>
      </c>
      <c r="L397" s="1">
        <v>43972</v>
      </c>
      <c r="M397" s="1">
        <v>43974</v>
      </c>
      <c r="N397">
        <v>4</v>
      </c>
      <c r="O397" s="4" cm="1">
        <f t="array" ref="O397">_xlfn.IFS(J397="Dell Inspiron 15",66989,J397="Lenovo IdeaPad Slim 3i",34690,J397="Mi NoteBook Ultra",57999,J397="Samsung Galaxy Go",36990,J397="Acer Aspire 3",38980)</f>
        <v>36990</v>
      </c>
      <c r="P397" t="s">
        <v>1029</v>
      </c>
    </row>
    <row r="398" spans="1:16" x14ac:dyDescent="0.25">
      <c r="A398">
        <v>13232</v>
      </c>
      <c r="B398" t="s">
        <v>19</v>
      </c>
      <c r="C398" t="s">
        <v>101</v>
      </c>
      <c r="D398" t="s">
        <v>1032</v>
      </c>
      <c r="E398" t="s">
        <v>1035</v>
      </c>
      <c r="F398" t="s">
        <v>1011</v>
      </c>
      <c r="G398" t="str">
        <f>UPPER(Table1[[#This Row],[State]])</f>
        <v>GUJARAT</v>
      </c>
      <c r="H398" t="s">
        <v>1016</v>
      </c>
      <c r="I398" t="s">
        <v>682</v>
      </c>
      <c r="J398" t="s">
        <v>1026</v>
      </c>
      <c r="K398">
        <v>5249</v>
      </c>
      <c r="L398" s="1">
        <v>43858</v>
      </c>
      <c r="M398" s="1">
        <v>43859</v>
      </c>
      <c r="N398">
        <v>1</v>
      </c>
      <c r="O398" s="4" cm="1">
        <f t="array" ref="O398">_xlfn.IFS(J398="Dell Inspiron 15",66989,J398="Lenovo IdeaPad Slim 3i",34690,J398="Mi NoteBook Ultra",57999,J398="Samsung Galaxy Go",36990,J398="Acer Aspire 3",38980)</f>
        <v>38980</v>
      </c>
      <c r="P398" t="s">
        <v>1029</v>
      </c>
    </row>
    <row r="399" spans="1:16" x14ac:dyDescent="0.25">
      <c r="A399">
        <v>18776</v>
      </c>
      <c r="B399" t="s">
        <v>292</v>
      </c>
      <c r="C399" t="s">
        <v>71</v>
      </c>
      <c r="D399" t="s">
        <v>1032</v>
      </c>
      <c r="E399" t="s">
        <v>1035</v>
      </c>
      <c r="F399" t="s">
        <v>1011</v>
      </c>
      <c r="G399" t="str">
        <f>UPPER(Table1[[#This Row],[State]])</f>
        <v>GUJARAT</v>
      </c>
      <c r="H399" t="s">
        <v>1016</v>
      </c>
      <c r="I399" t="s">
        <v>683</v>
      </c>
      <c r="J399" t="s">
        <v>1022</v>
      </c>
      <c r="K399">
        <v>4940</v>
      </c>
      <c r="L399" s="1">
        <v>43858</v>
      </c>
      <c r="M399" s="1">
        <v>43860</v>
      </c>
      <c r="N399">
        <v>6</v>
      </c>
      <c r="O399" s="4" cm="1">
        <f t="array" ref="O399">_xlfn.IFS(J399="Dell Inspiron 15",66989,J399="Lenovo IdeaPad Slim 3i",34690,J399="Mi NoteBook Ultra",57999,J399="Samsung Galaxy Go",36990,J399="Acer Aspire 3",38980)</f>
        <v>66989</v>
      </c>
      <c r="P399" t="s">
        <v>1029</v>
      </c>
    </row>
    <row r="400" spans="1:16" x14ac:dyDescent="0.25">
      <c r="A400">
        <v>13445</v>
      </c>
      <c r="B400" t="s">
        <v>313</v>
      </c>
      <c r="C400" t="s">
        <v>577</v>
      </c>
      <c r="D400" t="s">
        <v>1032</v>
      </c>
      <c r="E400" t="s">
        <v>1036</v>
      </c>
      <c r="F400" t="s">
        <v>1012</v>
      </c>
      <c r="G400" t="str">
        <f>UPPER(Table1[[#This Row],[State]])</f>
        <v>DELHI</v>
      </c>
      <c r="H400" t="s">
        <v>1017</v>
      </c>
      <c r="I400" t="s">
        <v>684</v>
      </c>
      <c r="J400" t="s">
        <v>1024</v>
      </c>
      <c r="K400">
        <v>5288</v>
      </c>
      <c r="L400" s="1">
        <v>43953</v>
      </c>
      <c r="M400" s="1">
        <v>43955</v>
      </c>
      <c r="N400">
        <v>3</v>
      </c>
      <c r="O400" s="4" cm="1">
        <f t="array" ref="O400">_xlfn.IFS(J400="Dell Inspiron 15",66989,J400="Lenovo IdeaPad Slim 3i",34690,J400="Mi NoteBook Ultra",57999,J400="Samsung Galaxy Go",36990,J400="Acer Aspire 3",38980)</f>
        <v>57999</v>
      </c>
      <c r="P400" t="s">
        <v>1029</v>
      </c>
    </row>
    <row r="401" spans="1:16" x14ac:dyDescent="0.25">
      <c r="A401">
        <v>14243</v>
      </c>
      <c r="B401" t="s">
        <v>187</v>
      </c>
      <c r="C401" t="s">
        <v>196</v>
      </c>
      <c r="D401" t="s">
        <v>1032</v>
      </c>
      <c r="E401" t="s">
        <v>1033</v>
      </c>
      <c r="F401" t="s">
        <v>1009</v>
      </c>
      <c r="G401" t="str">
        <f>UPPER(Table1[[#This Row],[State]])</f>
        <v>BIHAR</v>
      </c>
      <c r="H401" t="s">
        <v>1014</v>
      </c>
      <c r="I401" t="s">
        <v>685</v>
      </c>
      <c r="J401" t="s">
        <v>1026</v>
      </c>
      <c r="K401">
        <v>4534</v>
      </c>
      <c r="L401" s="1">
        <v>43883</v>
      </c>
      <c r="M401" s="1">
        <v>43884</v>
      </c>
      <c r="N401">
        <v>4</v>
      </c>
      <c r="O401" s="4" cm="1">
        <f t="array" ref="O401">_xlfn.IFS(J401="Dell Inspiron 15",66989,J401="Lenovo IdeaPad Slim 3i",34690,J401="Mi NoteBook Ultra",57999,J401="Samsung Galaxy Go",36990,J401="Acer Aspire 3",38980)</f>
        <v>38980</v>
      </c>
      <c r="P401" t="s">
        <v>1029</v>
      </c>
    </row>
    <row r="402" spans="1:16" x14ac:dyDescent="0.25">
      <c r="A402">
        <v>15484</v>
      </c>
      <c r="B402" t="s">
        <v>686</v>
      </c>
      <c r="C402" t="s">
        <v>148</v>
      </c>
      <c r="D402" t="s">
        <v>1032</v>
      </c>
      <c r="E402" t="s">
        <v>1034</v>
      </c>
      <c r="F402" t="s">
        <v>1010</v>
      </c>
      <c r="G402" t="str">
        <f>UPPER(Table1[[#This Row],[State]])</f>
        <v>PUDUCHERRY</v>
      </c>
      <c r="H402" t="s">
        <v>1015</v>
      </c>
      <c r="I402" t="s">
        <v>687</v>
      </c>
      <c r="J402" t="s">
        <v>1022</v>
      </c>
      <c r="K402">
        <v>5413</v>
      </c>
      <c r="L402" s="1">
        <v>43917</v>
      </c>
      <c r="M402" s="1">
        <v>43918</v>
      </c>
      <c r="N402">
        <v>10</v>
      </c>
      <c r="O402" s="4" cm="1">
        <f t="array" ref="O402">_xlfn.IFS(J402="Dell Inspiron 15",66989,J402="Lenovo IdeaPad Slim 3i",34690,J402="Mi NoteBook Ultra",57999,J402="Samsung Galaxy Go",36990,J402="Acer Aspire 3",38980)</f>
        <v>66989</v>
      </c>
      <c r="P402" t="s">
        <v>1029</v>
      </c>
    </row>
    <row r="403" spans="1:16" x14ac:dyDescent="0.25">
      <c r="A403">
        <v>18138</v>
      </c>
      <c r="B403" t="s">
        <v>276</v>
      </c>
      <c r="C403" t="s">
        <v>471</v>
      </c>
      <c r="D403" t="s">
        <v>1032</v>
      </c>
      <c r="E403" t="s">
        <v>1033</v>
      </c>
      <c r="F403" t="s">
        <v>1009</v>
      </c>
      <c r="G403" t="str">
        <f>UPPER(Table1[[#This Row],[State]])</f>
        <v>BIHAR</v>
      </c>
      <c r="H403" t="s">
        <v>1014</v>
      </c>
      <c r="I403" t="s">
        <v>688</v>
      </c>
      <c r="J403" t="s">
        <v>1023</v>
      </c>
      <c r="K403">
        <v>5213</v>
      </c>
      <c r="L403" s="1">
        <v>43850</v>
      </c>
      <c r="M403" s="1">
        <v>43852</v>
      </c>
      <c r="N403">
        <v>1</v>
      </c>
      <c r="O403" s="4" cm="1">
        <f t="array" ref="O403">_xlfn.IFS(J403="Dell Inspiron 15",66989,J403="Lenovo IdeaPad Slim 3i",34690,J403="Mi NoteBook Ultra",57999,J403="Samsung Galaxy Go",36990,J403="Acer Aspire 3",38980)</f>
        <v>34690</v>
      </c>
      <c r="P403" t="s">
        <v>1029</v>
      </c>
    </row>
    <row r="404" spans="1:16" x14ac:dyDescent="0.25">
      <c r="A404">
        <v>15465</v>
      </c>
      <c r="B404" t="s">
        <v>545</v>
      </c>
      <c r="C404" t="s">
        <v>139</v>
      </c>
      <c r="D404" t="s">
        <v>1032</v>
      </c>
      <c r="E404" t="s">
        <v>1035</v>
      </c>
      <c r="F404" t="s">
        <v>1011</v>
      </c>
      <c r="G404" t="str">
        <f>UPPER(Table1[[#This Row],[State]])</f>
        <v>GUJARAT</v>
      </c>
      <c r="H404" t="s">
        <v>1016</v>
      </c>
      <c r="I404" t="s">
        <v>689</v>
      </c>
      <c r="J404" t="s">
        <v>1025</v>
      </c>
      <c r="K404">
        <v>5026</v>
      </c>
      <c r="L404" s="1">
        <v>43902</v>
      </c>
      <c r="M404" s="1">
        <v>43909</v>
      </c>
      <c r="N404">
        <v>1</v>
      </c>
      <c r="O404" s="4" cm="1">
        <f t="array" ref="O404">_xlfn.IFS(J404="Dell Inspiron 15",66989,J404="Lenovo IdeaPad Slim 3i",34690,J404="Mi NoteBook Ultra",57999,J404="Samsung Galaxy Go",36990,J404="Acer Aspire 3",38980)</f>
        <v>36990</v>
      </c>
      <c r="P404" t="s">
        <v>1029</v>
      </c>
    </row>
    <row r="405" spans="1:16" x14ac:dyDescent="0.25">
      <c r="A405">
        <v>15225</v>
      </c>
      <c r="B405" t="s">
        <v>213</v>
      </c>
      <c r="C405" t="s">
        <v>253</v>
      </c>
      <c r="D405" t="s">
        <v>1032</v>
      </c>
      <c r="E405" t="s">
        <v>1035</v>
      </c>
      <c r="F405" t="s">
        <v>1011</v>
      </c>
      <c r="G405" t="str">
        <f>UPPER(Table1[[#This Row],[State]])</f>
        <v>GUJARAT</v>
      </c>
      <c r="H405" t="s">
        <v>1016</v>
      </c>
      <c r="I405" t="s">
        <v>690</v>
      </c>
      <c r="J405" t="s">
        <v>1022</v>
      </c>
      <c r="K405">
        <v>4976</v>
      </c>
      <c r="L405" s="1">
        <v>43997</v>
      </c>
      <c r="M405" s="1">
        <v>43999</v>
      </c>
      <c r="N405">
        <v>7</v>
      </c>
      <c r="O405" s="4" cm="1">
        <f t="array" ref="O405">_xlfn.IFS(J405="Dell Inspiron 15",66989,J405="Lenovo IdeaPad Slim 3i",34690,J405="Mi NoteBook Ultra",57999,J405="Samsung Galaxy Go",36990,J405="Acer Aspire 3",38980)</f>
        <v>66989</v>
      </c>
      <c r="P405" t="s">
        <v>1029</v>
      </c>
    </row>
    <row r="406" spans="1:16" x14ac:dyDescent="0.25">
      <c r="A406">
        <v>23386</v>
      </c>
      <c r="B406" t="s">
        <v>10</v>
      </c>
      <c r="C406" t="s">
        <v>173</v>
      </c>
      <c r="D406" t="s">
        <v>1032</v>
      </c>
      <c r="E406" t="s">
        <v>1036</v>
      </c>
      <c r="F406" t="s">
        <v>1012</v>
      </c>
      <c r="G406" t="str">
        <f>UPPER(Table1[[#This Row],[State]])</f>
        <v>DELHI</v>
      </c>
      <c r="H406" t="s">
        <v>1017</v>
      </c>
      <c r="I406" t="s">
        <v>691</v>
      </c>
      <c r="J406" t="s">
        <v>1026</v>
      </c>
      <c r="K406">
        <v>4959</v>
      </c>
      <c r="L406" s="1">
        <v>43997</v>
      </c>
      <c r="M406" s="1">
        <v>43998</v>
      </c>
      <c r="N406">
        <v>5</v>
      </c>
      <c r="O406" s="4" cm="1">
        <f t="array" ref="O406">_xlfn.IFS(J406="Dell Inspiron 15",66989,J406="Lenovo IdeaPad Slim 3i",34690,J406="Mi NoteBook Ultra",57999,J406="Samsung Galaxy Go",36990,J406="Acer Aspire 3",38980)</f>
        <v>38980</v>
      </c>
      <c r="P406" t="s">
        <v>1029</v>
      </c>
    </row>
    <row r="407" spans="1:16" x14ac:dyDescent="0.25">
      <c r="A407">
        <v>19933</v>
      </c>
      <c r="B407" t="s">
        <v>76</v>
      </c>
      <c r="C407" t="s">
        <v>570</v>
      </c>
      <c r="D407" t="s">
        <v>1032</v>
      </c>
      <c r="E407" t="s">
        <v>1033</v>
      </c>
      <c r="F407" t="s">
        <v>1009</v>
      </c>
      <c r="G407" t="str">
        <f>UPPER(Table1[[#This Row],[State]])</f>
        <v>BIHAR</v>
      </c>
      <c r="H407" t="s">
        <v>1014</v>
      </c>
      <c r="I407" t="s">
        <v>692</v>
      </c>
      <c r="J407" t="s">
        <v>1024</v>
      </c>
      <c r="K407">
        <v>4873</v>
      </c>
      <c r="L407" s="1">
        <v>43961</v>
      </c>
      <c r="M407" s="1">
        <v>43962</v>
      </c>
      <c r="N407">
        <v>7</v>
      </c>
      <c r="O407" s="4" cm="1">
        <f t="array" ref="O407">_xlfn.IFS(J407="Dell Inspiron 15",66989,J407="Lenovo IdeaPad Slim 3i",34690,J407="Mi NoteBook Ultra",57999,J407="Samsung Galaxy Go",36990,J407="Acer Aspire 3",38980)</f>
        <v>57999</v>
      </c>
      <c r="P407" t="s">
        <v>1029</v>
      </c>
    </row>
    <row r="408" spans="1:16" x14ac:dyDescent="0.25">
      <c r="A408">
        <v>14983</v>
      </c>
      <c r="B408" t="s">
        <v>634</v>
      </c>
      <c r="C408" t="s">
        <v>693</v>
      </c>
      <c r="D408" t="s">
        <v>1032</v>
      </c>
      <c r="E408" t="s">
        <v>1036</v>
      </c>
      <c r="F408" t="s">
        <v>1012</v>
      </c>
      <c r="G408" t="str">
        <f>UPPER(Table1[[#This Row],[State]])</f>
        <v>DELHI</v>
      </c>
      <c r="H408" t="s">
        <v>1017</v>
      </c>
      <c r="I408" t="s">
        <v>694</v>
      </c>
      <c r="J408" t="s">
        <v>1025</v>
      </c>
      <c r="K408">
        <v>5494</v>
      </c>
      <c r="L408" s="1">
        <v>43900</v>
      </c>
      <c r="M408" s="1">
        <v>43900</v>
      </c>
      <c r="N408">
        <v>8</v>
      </c>
      <c r="O408" s="4" cm="1">
        <f t="array" ref="O408">_xlfn.IFS(J408="Dell Inspiron 15",66989,J408="Lenovo IdeaPad Slim 3i",34690,J408="Mi NoteBook Ultra",57999,J408="Samsung Galaxy Go",36990,J408="Acer Aspire 3",38980)</f>
        <v>36990</v>
      </c>
      <c r="P408" t="s">
        <v>1029</v>
      </c>
    </row>
    <row r="409" spans="1:16" x14ac:dyDescent="0.25">
      <c r="A409">
        <v>25457</v>
      </c>
      <c r="B409" t="s">
        <v>576</v>
      </c>
      <c r="C409" t="s">
        <v>6</v>
      </c>
      <c r="D409" t="s">
        <v>1032</v>
      </c>
      <c r="E409" t="s">
        <v>1033</v>
      </c>
      <c r="F409" t="s">
        <v>1009</v>
      </c>
      <c r="G409" t="str">
        <f>UPPER(Table1[[#This Row],[State]])</f>
        <v>BIHAR</v>
      </c>
      <c r="H409" t="s">
        <v>1014</v>
      </c>
      <c r="I409" t="s">
        <v>695</v>
      </c>
      <c r="J409" t="s">
        <v>1026</v>
      </c>
      <c r="K409">
        <v>5412</v>
      </c>
      <c r="L409" s="1">
        <v>43858</v>
      </c>
      <c r="M409" s="1">
        <v>43860</v>
      </c>
      <c r="N409">
        <v>10</v>
      </c>
      <c r="O409" s="4" cm="1">
        <f t="array" ref="O409">_xlfn.IFS(J409="Dell Inspiron 15",66989,J409="Lenovo IdeaPad Slim 3i",34690,J409="Mi NoteBook Ultra",57999,J409="Samsung Galaxy Go",36990,J409="Acer Aspire 3",38980)</f>
        <v>38980</v>
      </c>
      <c r="P409" t="s">
        <v>1029</v>
      </c>
    </row>
    <row r="410" spans="1:16" x14ac:dyDescent="0.25">
      <c r="A410">
        <v>16186</v>
      </c>
      <c r="B410" t="s">
        <v>576</v>
      </c>
      <c r="C410" t="s">
        <v>429</v>
      </c>
      <c r="D410" t="s">
        <v>1032</v>
      </c>
      <c r="E410" t="s">
        <v>1034</v>
      </c>
      <c r="F410" t="s">
        <v>1010</v>
      </c>
      <c r="G410" t="str">
        <f>UPPER(Table1[[#This Row],[State]])</f>
        <v>PUDUCHERRY</v>
      </c>
      <c r="H410" t="s">
        <v>1015</v>
      </c>
      <c r="I410" t="s">
        <v>696</v>
      </c>
      <c r="J410" t="s">
        <v>1022</v>
      </c>
      <c r="K410">
        <v>5050</v>
      </c>
      <c r="L410" s="1">
        <v>43900</v>
      </c>
      <c r="M410" s="1">
        <v>43901</v>
      </c>
      <c r="N410">
        <v>7</v>
      </c>
      <c r="O410" s="4" cm="1">
        <f t="array" ref="O410">_xlfn.IFS(J410="Dell Inspiron 15",66989,J410="Lenovo IdeaPad Slim 3i",34690,J410="Mi NoteBook Ultra",57999,J410="Samsung Galaxy Go",36990,J410="Acer Aspire 3",38980)</f>
        <v>66989</v>
      </c>
      <c r="P410" t="s">
        <v>1029</v>
      </c>
    </row>
    <row r="411" spans="1:16" x14ac:dyDescent="0.25">
      <c r="A411">
        <v>23501</v>
      </c>
      <c r="B411" t="s">
        <v>6</v>
      </c>
      <c r="C411" t="s">
        <v>248</v>
      </c>
      <c r="D411" t="s">
        <v>1032</v>
      </c>
      <c r="E411" t="s">
        <v>1033</v>
      </c>
      <c r="F411" t="s">
        <v>1009</v>
      </c>
      <c r="G411" t="str">
        <f>UPPER(Table1[[#This Row],[State]])</f>
        <v>BIHAR</v>
      </c>
      <c r="H411" t="s">
        <v>1014</v>
      </c>
      <c r="I411" t="s">
        <v>697</v>
      </c>
      <c r="J411" t="s">
        <v>1024</v>
      </c>
      <c r="K411">
        <v>4722</v>
      </c>
      <c r="L411" s="1">
        <v>43941</v>
      </c>
      <c r="M411" s="1">
        <v>43942</v>
      </c>
      <c r="N411">
        <v>5</v>
      </c>
      <c r="O411" s="4" cm="1">
        <f t="array" ref="O411">_xlfn.IFS(J411="Dell Inspiron 15",66989,J411="Lenovo IdeaPad Slim 3i",34690,J411="Mi NoteBook Ultra",57999,J411="Samsung Galaxy Go",36990,J411="Acer Aspire 3",38980)</f>
        <v>57999</v>
      </c>
      <c r="P411" t="s">
        <v>1029</v>
      </c>
    </row>
    <row r="412" spans="1:16" x14ac:dyDescent="0.25">
      <c r="A412">
        <v>14470</v>
      </c>
      <c r="B412" t="s">
        <v>637</v>
      </c>
      <c r="C412" t="s">
        <v>139</v>
      </c>
      <c r="D412" t="s">
        <v>1032</v>
      </c>
      <c r="E412" t="s">
        <v>1035</v>
      </c>
      <c r="F412" t="s">
        <v>1011</v>
      </c>
      <c r="G412" t="str">
        <f>UPPER(Table1[[#This Row],[State]])</f>
        <v>GUJARAT</v>
      </c>
      <c r="H412" t="s">
        <v>1016</v>
      </c>
      <c r="I412" t="s">
        <v>698</v>
      </c>
      <c r="J412" t="s">
        <v>1026</v>
      </c>
      <c r="K412">
        <v>5317</v>
      </c>
      <c r="L412" s="1">
        <v>43941</v>
      </c>
      <c r="M412" s="1">
        <v>43942</v>
      </c>
      <c r="N412">
        <v>10</v>
      </c>
      <c r="O412" s="4" cm="1">
        <f t="array" ref="O412">_xlfn.IFS(J412="Dell Inspiron 15",66989,J412="Lenovo IdeaPad Slim 3i",34690,J412="Mi NoteBook Ultra",57999,J412="Samsung Galaxy Go",36990,J412="Acer Aspire 3",38980)</f>
        <v>38980</v>
      </c>
      <c r="P412" t="s">
        <v>1029</v>
      </c>
    </row>
    <row r="413" spans="1:16" x14ac:dyDescent="0.25">
      <c r="A413">
        <v>19347</v>
      </c>
      <c r="B413" t="s">
        <v>287</v>
      </c>
      <c r="C413" t="s">
        <v>110</v>
      </c>
      <c r="D413" t="s">
        <v>1032</v>
      </c>
      <c r="E413" t="s">
        <v>1033</v>
      </c>
      <c r="F413" t="s">
        <v>1009</v>
      </c>
      <c r="G413" t="str">
        <f>UPPER(Table1[[#This Row],[State]])</f>
        <v>BIHAR</v>
      </c>
      <c r="H413" t="s">
        <v>1014</v>
      </c>
      <c r="I413" t="s">
        <v>699</v>
      </c>
      <c r="J413" t="s">
        <v>1022</v>
      </c>
      <c r="K413">
        <v>4976</v>
      </c>
      <c r="L413" s="1">
        <v>43960</v>
      </c>
      <c r="M413" s="1">
        <v>43962</v>
      </c>
      <c r="N413">
        <v>3</v>
      </c>
      <c r="O413" s="4" cm="1">
        <f t="array" ref="O413">_xlfn.IFS(J413="Dell Inspiron 15",66989,J413="Lenovo IdeaPad Slim 3i",34690,J413="Mi NoteBook Ultra",57999,J413="Samsung Galaxy Go",36990,J413="Acer Aspire 3",38980)</f>
        <v>66989</v>
      </c>
      <c r="P413" t="s">
        <v>1029</v>
      </c>
    </row>
    <row r="414" spans="1:16" x14ac:dyDescent="0.25">
      <c r="A414">
        <v>15780</v>
      </c>
      <c r="B414" t="s">
        <v>339</v>
      </c>
      <c r="C414" t="s">
        <v>52</v>
      </c>
      <c r="D414" t="s">
        <v>1032</v>
      </c>
      <c r="E414" t="s">
        <v>1034</v>
      </c>
      <c r="F414" t="s">
        <v>1010</v>
      </c>
      <c r="G414" t="str">
        <f>UPPER(Table1[[#This Row],[State]])</f>
        <v>PUDUCHERRY</v>
      </c>
      <c r="H414" t="s">
        <v>1015</v>
      </c>
      <c r="I414" t="s">
        <v>700</v>
      </c>
      <c r="J414" t="s">
        <v>1023</v>
      </c>
      <c r="K414">
        <v>5031</v>
      </c>
      <c r="L414" s="1">
        <v>43994</v>
      </c>
      <c r="M414" s="1">
        <v>43996</v>
      </c>
      <c r="N414">
        <v>6</v>
      </c>
      <c r="O414" s="4" cm="1">
        <f t="array" ref="O414">_xlfn.IFS(J414="Dell Inspiron 15",66989,J414="Lenovo IdeaPad Slim 3i",34690,J414="Mi NoteBook Ultra",57999,J414="Samsung Galaxy Go",36990,J414="Acer Aspire 3",38980)</f>
        <v>34690</v>
      </c>
      <c r="P414" t="s">
        <v>1029</v>
      </c>
    </row>
    <row r="415" spans="1:16" x14ac:dyDescent="0.25">
      <c r="A415">
        <v>20077</v>
      </c>
      <c r="B415" t="s">
        <v>701</v>
      </c>
      <c r="C415" t="s">
        <v>342</v>
      </c>
      <c r="D415" t="s">
        <v>1032</v>
      </c>
      <c r="E415" t="s">
        <v>1033</v>
      </c>
      <c r="F415" t="s">
        <v>1009</v>
      </c>
      <c r="G415" t="str">
        <f>UPPER(Table1[[#This Row],[State]])</f>
        <v>BIHAR</v>
      </c>
      <c r="H415" t="s">
        <v>1014</v>
      </c>
      <c r="I415" t="s">
        <v>702</v>
      </c>
      <c r="J415" t="s">
        <v>1022</v>
      </c>
      <c r="K415">
        <v>5104</v>
      </c>
      <c r="L415" s="1">
        <v>43892</v>
      </c>
      <c r="M415" s="1">
        <v>43894</v>
      </c>
      <c r="N415">
        <v>1</v>
      </c>
      <c r="O415" s="4" cm="1">
        <f t="array" ref="O415">_xlfn.IFS(J415="Dell Inspiron 15",66989,J415="Lenovo IdeaPad Slim 3i",34690,J415="Mi NoteBook Ultra",57999,J415="Samsung Galaxy Go",36990,J415="Acer Aspire 3",38980)</f>
        <v>66989</v>
      </c>
      <c r="P415" t="s">
        <v>1029</v>
      </c>
    </row>
    <row r="416" spans="1:16" x14ac:dyDescent="0.25">
      <c r="A416">
        <v>25261</v>
      </c>
      <c r="B416" t="s">
        <v>582</v>
      </c>
      <c r="C416" t="s">
        <v>302</v>
      </c>
      <c r="D416" t="s">
        <v>1032</v>
      </c>
      <c r="E416" t="s">
        <v>1035</v>
      </c>
      <c r="F416" t="s">
        <v>1011</v>
      </c>
      <c r="G416" t="str">
        <f>UPPER(Table1[[#This Row],[State]])</f>
        <v>GUJARAT</v>
      </c>
      <c r="H416" t="s">
        <v>1016</v>
      </c>
      <c r="I416" t="s">
        <v>703</v>
      </c>
      <c r="J416" t="s">
        <v>1023</v>
      </c>
      <c r="K416">
        <v>4702</v>
      </c>
      <c r="L416" s="1">
        <v>43892</v>
      </c>
      <c r="M416" s="1">
        <v>43892</v>
      </c>
      <c r="N416">
        <v>9</v>
      </c>
      <c r="O416" s="4" cm="1">
        <f t="array" ref="O416">_xlfn.IFS(J416="Dell Inspiron 15",66989,J416="Lenovo IdeaPad Slim 3i",34690,J416="Mi NoteBook Ultra",57999,J416="Samsung Galaxy Go",36990,J416="Acer Aspire 3",38980)</f>
        <v>34690</v>
      </c>
      <c r="P416" t="s">
        <v>1029</v>
      </c>
    </row>
    <row r="417" spans="1:16" x14ac:dyDescent="0.25">
      <c r="A417">
        <v>16797</v>
      </c>
      <c r="B417" t="s">
        <v>704</v>
      </c>
      <c r="C417" t="s">
        <v>148</v>
      </c>
      <c r="D417" t="s">
        <v>1032</v>
      </c>
      <c r="E417" t="s">
        <v>1035</v>
      </c>
      <c r="F417" t="s">
        <v>1011</v>
      </c>
      <c r="G417" t="str">
        <f>UPPER(Table1[[#This Row],[State]])</f>
        <v>GUJARAT</v>
      </c>
      <c r="H417" t="s">
        <v>1016</v>
      </c>
      <c r="I417" t="s">
        <v>705</v>
      </c>
      <c r="J417" t="s">
        <v>1024</v>
      </c>
      <c r="K417">
        <v>4744</v>
      </c>
      <c r="L417" s="1">
        <v>43832</v>
      </c>
      <c r="M417" s="1">
        <v>43839</v>
      </c>
      <c r="N417">
        <v>10</v>
      </c>
      <c r="O417" s="4" cm="1">
        <f t="array" ref="O417">_xlfn.IFS(J417="Dell Inspiron 15",66989,J417="Lenovo IdeaPad Slim 3i",34690,J417="Mi NoteBook Ultra",57999,J417="Samsung Galaxy Go",36990,J417="Acer Aspire 3",38980)</f>
        <v>57999</v>
      </c>
      <c r="P417" t="s">
        <v>1029</v>
      </c>
    </row>
    <row r="418" spans="1:16" x14ac:dyDescent="0.25">
      <c r="A418">
        <v>18707</v>
      </c>
      <c r="B418" t="s">
        <v>51</v>
      </c>
      <c r="C418" t="s">
        <v>139</v>
      </c>
      <c r="D418" t="s">
        <v>1032</v>
      </c>
      <c r="E418" t="s">
        <v>1035</v>
      </c>
      <c r="F418" t="s">
        <v>1011</v>
      </c>
      <c r="G418" t="str">
        <f>UPPER(Table1[[#This Row],[State]])</f>
        <v>GUJARAT</v>
      </c>
      <c r="H418" t="s">
        <v>1016</v>
      </c>
      <c r="I418" t="s">
        <v>706</v>
      </c>
      <c r="J418" t="s">
        <v>1025</v>
      </c>
      <c r="K418">
        <v>5210</v>
      </c>
      <c r="L418" s="1">
        <v>43832</v>
      </c>
      <c r="M418" s="1">
        <v>43832</v>
      </c>
      <c r="N418">
        <v>2</v>
      </c>
      <c r="O418" s="4" cm="1">
        <f t="array" ref="O418">_xlfn.IFS(J418="Dell Inspiron 15",66989,J418="Lenovo IdeaPad Slim 3i",34690,J418="Mi NoteBook Ultra",57999,J418="Samsung Galaxy Go",36990,J418="Acer Aspire 3",38980)</f>
        <v>36990</v>
      </c>
      <c r="P418" t="s">
        <v>1029</v>
      </c>
    </row>
    <row r="419" spans="1:16" x14ac:dyDescent="0.25">
      <c r="A419">
        <v>24128</v>
      </c>
      <c r="B419" t="s">
        <v>707</v>
      </c>
      <c r="C419" t="s">
        <v>41</v>
      </c>
      <c r="D419" t="s">
        <v>1032</v>
      </c>
      <c r="E419" t="s">
        <v>1035</v>
      </c>
      <c r="F419" t="s">
        <v>1011</v>
      </c>
      <c r="G419" t="str">
        <f>UPPER(Table1[[#This Row],[State]])</f>
        <v>GUJARAT</v>
      </c>
      <c r="H419" t="s">
        <v>1016</v>
      </c>
      <c r="I419" t="s">
        <v>708</v>
      </c>
      <c r="J419" t="s">
        <v>1026</v>
      </c>
      <c r="K419">
        <v>4662</v>
      </c>
      <c r="L419" s="1">
        <v>43832</v>
      </c>
      <c r="M419" s="1">
        <v>43834</v>
      </c>
      <c r="N419">
        <v>6</v>
      </c>
      <c r="O419" s="4" cm="1">
        <f t="array" ref="O419">_xlfn.IFS(J419="Dell Inspiron 15",66989,J419="Lenovo IdeaPad Slim 3i",34690,J419="Mi NoteBook Ultra",57999,J419="Samsung Galaxy Go",36990,J419="Acer Aspire 3",38980)</f>
        <v>38980</v>
      </c>
      <c r="P419" t="s">
        <v>1029</v>
      </c>
    </row>
    <row r="420" spans="1:16" x14ac:dyDescent="0.25">
      <c r="A420">
        <v>23715</v>
      </c>
      <c r="B420" t="s">
        <v>59</v>
      </c>
      <c r="C420" t="s">
        <v>194</v>
      </c>
      <c r="D420" t="s">
        <v>1032</v>
      </c>
      <c r="E420" t="s">
        <v>1036</v>
      </c>
      <c r="F420" t="s">
        <v>1012</v>
      </c>
      <c r="G420" t="str">
        <f>UPPER(Table1[[#This Row],[State]])</f>
        <v>DELHI</v>
      </c>
      <c r="H420" t="s">
        <v>1017</v>
      </c>
      <c r="I420" t="s">
        <v>709</v>
      </c>
      <c r="J420" t="s">
        <v>1022</v>
      </c>
      <c r="K420">
        <v>5220</v>
      </c>
      <c r="L420" s="1">
        <v>43832</v>
      </c>
      <c r="M420" s="1">
        <v>43839</v>
      </c>
      <c r="N420">
        <v>9</v>
      </c>
      <c r="O420" s="4" cm="1">
        <f t="array" ref="O420">_xlfn.IFS(J420="Dell Inspiron 15",66989,J420="Lenovo IdeaPad Slim 3i",34690,J420="Mi NoteBook Ultra",57999,J420="Samsung Galaxy Go",36990,J420="Acer Aspire 3",38980)</f>
        <v>66989</v>
      </c>
      <c r="P420" t="s">
        <v>1029</v>
      </c>
    </row>
    <row r="421" spans="1:16" x14ac:dyDescent="0.25">
      <c r="A421">
        <v>16452</v>
      </c>
      <c r="B421" t="s">
        <v>76</v>
      </c>
      <c r="C421" t="s">
        <v>194</v>
      </c>
      <c r="D421" t="s">
        <v>1032</v>
      </c>
      <c r="E421" t="s">
        <v>1033</v>
      </c>
      <c r="F421" t="s">
        <v>1009</v>
      </c>
      <c r="G421" t="str">
        <f>UPPER(Table1[[#This Row],[State]])</f>
        <v>BIHAR</v>
      </c>
      <c r="H421" t="s">
        <v>1014</v>
      </c>
      <c r="I421" t="s">
        <v>710</v>
      </c>
      <c r="J421" t="s">
        <v>1024</v>
      </c>
      <c r="K421">
        <v>5392</v>
      </c>
      <c r="L421" s="1">
        <v>43863</v>
      </c>
      <c r="M421" s="1">
        <v>43865</v>
      </c>
      <c r="N421">
        <v>1</v>
      </c>
      <c r="O421" s="4" cm="1">
        <f t="array" ref="O421">_xlfn.IFS(J421="Dell Inspiron 15",66989,J421="Lenovo IdeaPad Slim 3i",34690,J421="Mi NoteBook Ultra",57999,J421="Samsung Galaxy Go",36990,J421="Acer Aspire 3",38980)</f>
        <v>57999</v>
      </c>
      <c r="P421" t="s">
        <v>1029</v>
      </c>
    </row>
    <row r="422" spans="1:16" x14ac:dyDescent="0.25">
      <c r="A422">
        <v>24192</v>
      </c>
      <c r="B422" t="s">
        <v>264</v>
      </c>
      <c r="C422" t="s">
        <v>52</v>
      </c>
      <c r="D422" t="s">
        <v>1032</v>
      </c>
      <c r="E422" t="s">
        <v>1034</v>
      </c>
      <c r="F422" t="s">
        <v>1010</v>
      </c>
      <c r="G422" t="str">
        <f>UPPER(Table1[[#This Row],[State]])</f>
        <v>PUDUCHERRY</v>
      </c>
      <c r="H422" t="s">
        <v>1015</v>
      </c>
      <c r="I422" t="s">
        <v>711</v>
      </c>
      <c r="J422" t="s">
        <v>1026</v>
      </c>
      <c r="K422">
        <v>5349</v>
      </c>
      <c r="L422" s="1">
        <v>43863</v>
      </c>
      <c r="M422" s="1">
        <v>43865</v>
      </c>
      <c r="N422">
        <v>1</v>
      </c>
      <c r="O422" s="4" cm="1">
        <f t="array" ref="O422">_xlfn.IFS(J422="Dell Inspiron 15",66989,J422="Lenovo IdeaPad Slim 3i",34690,J422="Mi NoteBook Ultra",57999,J422="Samsung Galaxy Go",36990,J422="Acer Aspire 3",38980)</f>
        <v>38980</v>
      </c>
      <c r="P422" t="s">
        <v>1029</v>
      </c>
    </row>
    <row r="423" spans="1:16" x14ac:dyDescent="0.25">
      <c r="A423">
        <v>16506</v>
      </c>
      <c r="B423" t="s">
        <v>712</v>
      </c>
      <c r="C423" t="s">
        <v>693</v>
      </c>
      <c r="D423" t="s">
        <v>1032</v>
      </c>
      <c r="E423" t="s">
        <v>1033</v>
      </c>
      <c r="F423" t="s">
        <v>1009</v>
      </c>
      <c r="G423" t="str">
        <f>UPPER(Table1[[#This Row],[State]])</f>
        <v>BIHAR</v>
      </c>
      <c r="H423" t="s">
        <v>1014</v>
      </c>
      <c r="I423" t="s">
        <v>713</v>
      </c>
      <c r="J423" t="s">
        <v>1022</v>
      </c>
      <c r="K423">
        <v>4553</v>
      </c>
      <c r="L423" s="1">
        <v>43905</v>
      </c>
      <c r="M423" s="1">
        <v>43905</v>
      </c>
      <c r="N423">
        <v>6</v>
      </c>
      <c r="O423" s="4" cm="1">
        <f t="array" ref="O423">_xlfn.IFS(J423="Dell Inspiron 15",66989,J423="Lenovo IdeaPad Slim 3i",34690,J423="Mi NoteBook Ultra",57999,J423="Samsung Galaxy Go",36990,J423="Acer Aspire 3",38980)</f>
        <v>66989</v>
      </c>
      <c r="P423" t="s">
        <v>1029</v>
      </c>
    </row>
    <row r="424" spans="1:16" x14ac:dyDescent="0.25">
      <c r="A424">
        <v>14868</v>
      </c>
      <c r="B424" t="s">
        <v>670</v>
      </c>
      <c r="C424" t="s">
        <v>181</v>
      </c>
      <c r="D424" t="s">
        <v>1032</v>
      </c>
      <c r="E424" t="s">
        <v>1035</v>
      </c>
      <c r="F424" t="s">
        <v>1011</v>
      </c>
      <c r="G424" t="str">
        <f>UPPER(Table1[[#This Row],[State]])</f>
        <v>GUJARAT</v>
      </c>
      <c r="H424" t="s">
        <v>1016</v>
      </c>
      <c r="I424" t="s">
        <v>714</v>
      </c>
      <c r="J424" t="s">
        <v>1023</v>
      </c>
      <c r="K424">
        <v>5400</v>
      </c>
      <c r="L424" s="1">
        <v>43863</v>
      </c>
      <c r="M424" s="1">
        <v>43864</v>
      </c>
      <c r="N424">
        <v>10</v>
      </c>
      <c r="O424" s="4" cm="1">
        <f t="array" ref="O424">_xlfn.IFS(J424="Dell Inspiron 15",66989,J424="Lenovo IdeaPad Slim 3i",34690,J424="Mi NoteBook Ultra",57999,J424="Samsung Galaxy Go",36990,J424="Acer Aspire 3",38980)</f>
        <v>34690</v>
      </c>
      <c r="P424" t="s">
        <v>1029</v>
      </c>
    </row>
    <row r="425" spans="1:16" x14ac:dyDescent="0.25">
      <c r="A425">
        <v>20874</v>
      </c>
      <c r="B425" t="s">
        <v>339</v>
      </c>
      <c r="C425" t="s">
        <v>175</v>
      </c>
      <c r="D425" t="s">
        <v>1032</v>
      </c>
      <c r="E425" t="s">
        <v>1035</v>
      </c>
      <c r="F425" t="s">
        <v>1011</v>
      </c>
      <c r="G425" t="str">
        <f>UPPER(Table1[[#This Row],[State]])</f>
        <v>GUJARAT</v>
      </c>
      <c r="H425" t="s">
        <v>1016</v>
      </c>
      <c r="I425" t="s">
        <v>715</v>
      </c>
      <c r="J425" t="s">
        <v>1022</v>
      </c>
      <c r="K425">
        <v>5212</v>
      </c>
      <c r="L425" s="1">
        <v>43920</v>
      </c>
      <c r="M425" s="1">
        <v>43923</v>
      </c>
      <c r="N425">
        <v>9</v>
      </c>
      <c r="O425" s="4" cm="1">
        <f t="array" ref="O425">_xlfn.IFS(J425="Dell Inspiron 15",66989,J425="Lenovo IdeaPad Slim 3i",34690,J425="Mi NoteBook Ultra",57999,J425="Samsung Galaxy Go",36990,J425="Acer Aspire 3",38980)</f>
        <v>66989</v>
      </c>
      <c r="P425" t="s">
        <v>1029</v>
      </c>
    </row>
    <row r="426" spans="1:16" x14ac:dyDescent="0.25">
      <c r="A426">
        <v>24615</v>
      </c>
      <c r="B426" t="s">
        <v>582</v>
      </c>
      <c r="C426" t="s">
        <v>342</v>
      </c>
      <c r="D426" t="s">
        <v>1032</v>
      </c>
      <c r="E426" t="s">
        <v>1036</v>
      </c>
      <c r="F426" t="s">
        <v>1012</v>
      </c>
      <c r="G426" t="str">
        <f>UPPER(Table1[[#This Row],[State]])</f>
        <v>DELHI</v>
      </c>
      <c r="H426" t="s">
        <v>1017</v>
      </c>
      <c r="I426" t="s">
        <v>716</v>
      </c>
      <c r="J426" t="s">
        <v>1026</v>
      </c>
      <c r="K426">
        <v>5182</v>
      </c>
      <c r="L426" s="1">
        <v>43985</v>
      </c>
      <c r="M426" s="1">
        <v>43990</v>
      </c>
      <c r="N426">
        <v>9</v>
      </c>
      <c r="O426" s="4" cm="1">
        <f t="array" ref="O426">_xlfn.IFS(J426="Dell Inspiron 15",66989,J426="Lenovo IdeaPad Slim 3i",34690,J426="Mi NoteBook Ultra",57999,J426="Samsung Galaxy Go",36990,J426="Acer Aspire 3",38980)</f>
        <v>38980</v>
      </c>
      <c r="P426" t="s">
        <v>1029</v>
      </c>
    </row>
    <row r="427" spans="1:16" x14ac:dyDescent="0.25">
      <c r="A427">
        <v>20115</v>
      </c>
      <c r="B427" t="s">
        <v>304</v>
      </c>
      <c r="C427" t="s">
        <v>577</v>
      </c>
      <c r="D427" t="s">
        <v>1032</v>
      </c>
      <c r="E427" t="s">
        <v>1033</v>
      </c>
      <c r="F427" t="s">
        <v>1009</v>
      </c>
      <c r="G427" t="str">
        <f>UPPER(Table1[[#This Row],[State]])</f>
        <v>BIHAR</v>
      </c>
      <c r="H427" t="s">
        <v>1014</v>
      </c>
      <c r="I427" t="s">
        <v>717</v>
      </c>
      <c r="J427" t="s">
        <v>1024</v>
      </c>
      <c r="K427">
        <v>5428</v>
      </c>
      <c r="L427" s="1">
        <v>43912</v>
      </c>
      <c r="M427" s="1">
        <v>43913</v>
      </c>
      <c r="N427">
        <v>5</v>
      </c>
      <c r="O427" s="4" cm="1">
        <f t="array" ref="O427">_xlfn.IFS(J427="Dell Inspiron 15",66989,J427="Lenovo IdeaPad Slim 3i",34690,J427="Mi NoteBook Ultra",57999,J427="Samsung Galaxy Go",36990,J427="Acer Aspire 3",38980)</f>
        <v>57999</v>
      </c>
      <c r="P427" t="s">
        <v>1029</v>
      </c>
    </row>
    <row r="428" spans="1:16" x14ac:dyDescent="0.25">
      <c r="A428">
        <v>15316</v>
      </c>
      <c r="B428" t="s">
        <v>389</v>
      </c>
      <c r="C428" t="s">
        <v>395</v>
      </c>
      <c r="D428" t="s">
        <v>1032</v>
      </c>
      <c r="E428" t="s">
        <v>1034</v>
      </c>
      <c r="F428" t="s">
        <v>1010</v>
      </c>
      <c r="G428" t="str">
        <f>UPPER(Table1[[#This Row],[State]])</f>
        <v>PUDUCHERRY</v>
      </c>
      <c r="H428" t="s">
        <v>1015</v>
      </c>
      <c r="I428" t="s">
        <v>718</v>
      </c>
      <c r="J428" t="s">
        <v>1025</v>
      </c>
      <c r="K428">
        <v>5131</v>
      </c>
      <c r="L428" s="1">
        <v>43912</v>
      </c>
      <c r="M428" s="1">
        <v>43915</v>
      </c>
      <c r="N428">
        <v>3</v>
      </c>
      <c r="O428" s="4" cm="1">
        <f t="array" ref="O428">_xlfn.IFS(J428="Dell Inspiron 15",66989,J428="Lenovo IdeaPad Slim 3i",34690,J428="Mi NoteBook Ultra",57999,J428="Samsung Galaxy Go",36990,J428="Acer Aspire 3",38980)</f>
        <v>36990</v>
      </c>
      <c r="P428" t="s">
        <v>1029</v>
      </c>
    </row>
    <row r="429" spans="1:16" x14ac:dyDescent="0.25">
      <c r="A429">
        <v>12594</v>
      </c>
      <c r="B429" t="s">
        <v>320</v>
      </c>
      <c r="C429" t="s">
        <v>461</v>
      </c>
      <c r="D429" t="s">
        <v>1032</v>
      </c>
      <c r="E429" t="s">
        <v>1033</v>
      </c>
      <c r="F429" t="s">
        <v>1009</v>
      </c>
      <c r="G429" t="str">
        <f>UPPER(Table1[[#This Row],[State]])</f>
        <v>BIHAR</v>
      </c>
      <c r="H429" t="s">
        <v>1014</v>
      </c>
      <c r="I429" t="s">
        <v>719</v>
      </c>
      <c r="J429" t="s">
        <v>1026</v>
      </c>
      <c r="K429">
        <v>5491</v>
      </c>
      <c r="L429" s="1">
        <v>43968</v>
      </c>
      <c r="M429" s="1">
        <v>43969</v>
      </c>
      <c r="N429">
        <v>4</v>
      </c>
      <c r="O429" s="4" cm="1">
        <f t="array" ref="O429">_xlfn.IFS(J429="Dell Inspiron 15",66989,J429="Lenovo IdeaPad Slim 3i",34690,J429="Mi NoteBook Ultra",57999,J429="Samsung Galaxy Go",36990,J429="Acer Aspire 3",38980)</f>
        <v>38980</v>
      </c>
      <c r="P429" t="s">
        <v>1029</v>
      </c>
    </row>
    <row r="430" spans="1:16" x14ac:dyDescent="0.25">
      <c r="A430">
        <v>22191</v>
      </c>
      <c r="B430" t="s">
        <v>410</v>
      </c>
      <c r="C430" t="s">
        <v>577</v>
      </c>
      <c r="D430" t="s">
        <v>1032</v>
      </c>
      <c r="E430" t="s">
        <v>1035</v>
      </c>
      <c r="F430" t="s">
        <v>1011</v>
      </c>
      <c r="G430" t="str">
        <f>UPPER(Table1[[#This Row],[State]])</f>
        <v>GUJARAT</v>
      </c>
      <c r="H430" t="s">
        <v>1016</v>
      </c>
      <c r="I430" t="s">
        <v>720</v>
      </c>
      <c r="J430" t="s">
        <v>1022</v>
      </c>
      <c r="K430">
        <v>4894</v>
      </c>
      <c r="L430" s="1">
        <v>43879</v>
      </c>
      <c r="M430" s="1">
        <v>43881</v>
      </c>
      <c r="N430">
        <v>5</v>
      </c>
      <c r="O430" s="4" cm="1">
        <f t="array" ref="O430">_xlfn.IFS(J430="Dell Inspiron 15",66989,J430="Lenovo IdeaPad Slim 3i",34690,J430="Mi NoteBook Ultra",57999,J430="Samsung Galaxy Go",36990,J430="Acer Aspire 3",38980)</f>
        <v>66989</v>
      </c>
      <c r="P430" t="s">
        <v>1029</v>
      </c>
    </row>
    <row r="431" spans="1:16" x14ac:dyDescent="0.25">
      <c r="A431">
        <v>18783</v>
      </c>
      <c r="B431" t="s">
        <v>292</v>
      </c>
      <c r="C431" t="s">
        <v>508</v>
      </c>
      <c r="D431" t="s">
        <v>1032</v>
      </c>
      <c r="E431" t="s">
        <v>1035</v>
      </c>
      <c r="F431" t="s">
        <v>1011</v>
      </c>
      <c r="G431" t="str">
        <f>UPPER(Table1[[#This Row],[State]])</f>
        <v>GUJARAT</v>
      </c>
      <c r="H431" t="s">
        <v>1016</v>
      </c>
      <c r="I431" t="s">
        <v>721</v>
      </c>
      <c r="J431" t="s">
        <v>1024</v>
      </c>
      <c r="K431">
        <v>4757</v>
      </c>
      <c r="L431" s="1">
        <v>43894</v>
      </c>
      <c r="M431" s="1">
        <v>43896</v>
      </c>
      <c r="N431">
        <v>2</v>
      </c>
      <c r="O431" s="4" cm="1">
        <f t="array" ref="O431">_xlfn.IFS(J431="Dell Inspiron 15",66989,J431="Lenovo IdeaPad Slim 3i",34690,J431="Mi NoteBook Ultra",57999,J431="Samsung Galaxy Go",36990,J431="Acer Aspire 3",38980)</f>
        <v>57999</v>
      </c>
      <c r="P431" t="s">
        <v>1029</v>
      </c>
    </row>
    <row r="432" spans="1:16" x14ac:dyDescent="0.25">
      <c r="A432">
        <v>15771</v>
      </c>
      <c r="B432" t="s">
        <v>722</v>
      </c>
      <c r="C432" t="s">
        <v>47</v>
      </c>
      <c r="D432" t="s">
        <v>1032</v>
      </c>
      <c r="E432" t="s">
        <v>1035</v>
      </c>
      <c r="F432" t="s">
        <v>1011</v>
      </c>
      <c r="G432" t="str">
        <f>UPPER(Table1[[#This Row],[State]])</f>
        <v>GUJARAT</v>
      </c>
      <c r="H432" t="s">
        <v>1016</v>
      </c>
      <c r="I432" t="s">
        <v>723</v>
      </c>
      <c r="J432" t="s">
        <v>1026</v>
      </c>
      <c r="K432">
        <v>5346</v>
      </c>
      <c r="L432" s="1">
        <v>43968</v>
      </c>
      <c r="M432" s="1">
        <v>43970</v>
      </c>
      <c r="N432">
        <v>1</v>
      </c>
      <c r="O432" s="4" cm="1">
        <f t="array" ref="O432">_xlfn.IFS(J432="Dell Inspiron 15",66989,J432="Lenovo IdeaPad Slim 3i",34690,J432="Mi NoteBook Ultra",57999,J432="Samsung Galaxy Go",36990,J432="Acer Aspire 3",38980)</f>
        <v>38980</v>
      </c>
      <c r="P432" t="s">
        <v>1029</v>
      </c>
    </row>
    <row r="433" spans="1:16" x14ac:dyDescent="0.25">
      <c r="A433">
        <v>18694</v>
      </c>
      <c r="B433" t="s">
        <v>582</v>
      </c>
      <c r="C433" t="s">
        <v>141</v>
      </c>
      <c r="D433" t="s">
        <v>1032</v>
      </c>
      <c r="E433" t="s">
        <v>1036</v>
      </c>
      <c r="F433" t="s">
        <v>1012</v>
      </c>
      <c r="G433" t="str">
        <f>UPPER(Table1[[#This Row],[State]])</f>
        <v>DELHI</v>
      </c>
      <c r="H433" t="s">
        <v>1017</v>
      </c>
      <c r="I433" t="s">
        <v>724</v>
      </c>
      <c r="J433" t="s">
        <v>1022</v>
      </c>
      <c r="K433">
        <v>5252</v>
      </c>
      <c r="L433" s="1">
        <v>43968</v>
      </c>
      <c r="M433" s="1">
        <v>43969</v>
      </c>
      <c r="N433">
        <v>9</v>
      </c>
      <c r="O433" s="4" cm="1">
        <f t="array" ref="O433">_xlfn.IFS(J433="Dell Inspiron 15",66989,J433="Lenovo IdeaPad Slim 3i",34690,J433="Mi NoteBook Ultra",57999,J433="Samsung Galaxy Go",36990,J433="Acer Aspire 3",38980)</f>
        <v>66989</v>
      </c>
      <c r="P433" t="s">
        <v>1029</v>
      </c>
    </row>
    <row r="434" spans="1:16" x14ac:dyDescent="0.25">
      <c r="A434">
        <v>23346</v>
      </c>
      <c r="B434" t="s">
        <v>122</v>
      </c>
      <c r="C434" t="s">
        <v>608</v>
      </c>
      <c r="D434" t="s">
        <v>1032</v>
      </c>
      <c r="E434" t="s">
        <v>1035</v>
      </c>
      <c r="F434" t="s">
        <v>1011</v>
      </c>
      <c r="G434" t="str">
        <f>UPPER(Table1[[#This Row],[State]])</f>
        <v>GUJARAT</v>
      </c>
      <c r="H434" t="s">
        <v>1016</v>
      </c>
      <c r="I434" t="s">
        <v>725</v>
      </c>
      <c r="J434" t="s">
        <v>1023</v>
      </c>
      <c r="K434">
        <v>4610</v>
      </c>
      <c r="L434" s="1">
        <v>43989</v>
      </c>
      <c r="M434" s="1">
        <v>43991</v>
      </c>
      <c r="N434">
        <v>6</v>
      </c>
      <c r="O434" s="4" cm="1">
        <f t="array" ref="O434">_xlfn.IFS(J434="Dell Inspiron 15",66989,J434="Lenovo IdeaPad Slim 3i",34690,J434="Mi NoteBook Ultra",57999,J434="Samsung Galaxy Go",36990,J434="Acer Aspire 3",38980)</f>
        <v>34690</v>
      </c>
      <c r="P434" t="s">
        <v>1029</v>
      </c>
    </row>
    <row r="435" spans="1:16" x14ac:dyDescent="0.25">
      <c r="A435">
        <v>24570</v>
      </c>
      <c r="B435" t="s">
        <v>145</v>
      </c>
      <c r="C435" t="s">
        <v>141</v>
      </c>
      <c r="D435" t="s">
        <v>1032</v>
      </c>
      <c r="E435" t="s">
        <v>1035</v>
      </c>
      <c r="F435" t="s">
        <v>1011</v>
      </c>
      <c r="G435" t="str">
        <f>UPPER(Table1[[#This Row],[State]])</f>
        <v>GUJARAT</v>
      </c>
      <c r="H435" t="s">
        <v>1016</v>
      </c>
      <c r="I435" t="s">
        <v>726</v>
      </c>
      <c r="J435" t="s">
        <v>1022</v>
      </c>
      <c r="K435">
        <v>5291</v>
      </c>
      <c r="L435" s="1">
        <v>43954</v>
      </c>
      <c r="M435" s="1">
        <v>43956</v>
      </c>
      <c r="N435">
        <v>5</v>
      </c>
      <c r="O435" s="4" cm="1">
        <f t="array" ref="O435">_xlfn.IFS(J435="Dell Inspiron 15",66989,J435="Lenovo IdeaPad Slim 3i",34690,J435="Mi NoteBook Ultra",57999,J435="Samsung Galaxy Go",36990,J435="Acer Aspire 3",38980)</f>
        <v>66989</v>
      </c>
      <c r="P435" t="s">
        <v>1029</v>
      </c>
    </row>
    <row r="436" spans="1:16" x14ac:dyDescent="0.25">
      <c r="A436">
        <v>17715</v>
      </c>
      <c r="B436" t="s">
        <v>282</v>
      </c>
      <c r="C436" t="s">
        <v>128</v>
      </c>
      <c r="D436" t="s">
        <v>1032</v>
      </c>
      <c r="E436" t="s">
        <v>1036</v>
      </c>
      <c r="F436" t="s">
        <v>1012</v>
      </c>
      <c r="G436" t="str">
        <f>UPPER(Table1[[#This Row],[State]])</f>
        <v>DELHI</v>
      </c>
      <c r="H436" t="s">
        <v>1017</v>
      </c>
      <c r="I436" t="s">
        <v>727</v>
      </c>
      <c r="J436" t="s">
        <v>1023</v>
      </c>
      <c r="K436">
        <v>5002</v>
      </c>
      <c r="L436" s="1">
        <v>43954</v>
      </c>
      <c r="M436" s="1">
        <v>43956</v>
      </c>
      <c r="N436">
        <v>8</v>
      </c>
      <c r="O436" s="4" cm="1">
        <f t="array" ref="O436">_xlfn.IFS(J436="Dell Inspiron 15",66989,J436="Lenovo IdeaPad Slim 3i",34690,J436="Mi NoteBook Ultra",57999,J436="Samsung Galaxy Go",36990,J436="Acer Aspire 3",38980)</f>
        <v>34690</v>
      </c>
      <c r="P436" t="s">
        <v>1029</v>
      </c>
    </row>
    <row r="437" spans="1:16" x14ac:dyDescent="0.25">
      <c r="A437">
        <v>21122</v>
      </c>
      <c r="B437" t="s">
        <v>551</v>
      </c>
      <c r="C437" t="s">
        <v>136</v>
      </c>
      <c r="D437" t="s">
        <v>1032</v>
      </c>
      <c r="E437" t="s">
        <v>1036</v>
      </c>
      <c r="F437" t="s">
        <v>1012</v>
      </c>
      <c r="G437" t="str">
        <f>UPPER(Table1[[#This Row],[State]])</f>
        <v>DELHI</v>
      </c>
      <c r="H437" t="s">
        <v>1017</v>
      </c>
      <c r="I437" t="s">
        <v>728</v>
      </c>
      <c r="J437" t="s">
        <v>1024</v>
      </c>
      <c r="K437">
        <v>5180</v>
      </c>
      <c r="L437" s="1">
        <v>43954</v>
      </c>
      <c r="M437" s="1">
        <v>43956</v>
      </c>
      <c r="N437">
        <v>5</v>
      </c>
      <c r="O437" s="4" cm="1">
        <f t="array" ref="O437">_xlfn.IFS(J437="Dell Inspiron 15",66989,J437="Lenovo IdeaPad Slim 3i",34690,J437="Mi NoteBook Ultra",57999,J437="Samsung Galaxy Go",36990,J437="Acer Aspire 3",38980)</f>
        <v>57999</v>
      </c>
      <c r="P437" t="s">
        <v>1029</v>
      </c>
    </row>
    <row r="438" spans="1:16" x14ac:dyDescent="0.25">
      <c r="A438">
        <v>12745</v>
      </c>
      <c r="B438" t="s">
        <v>92</v>
      </c>
      <c r="C438" t="s">
        <v>118</v>
      </c>
      <c r="D438" t="s">
        <v>1032</v>
      </c>
      <c r="E438" t="s">
        <v>1033</v>
      </c>
      <c r="F438" t="s">
        <v>1009</v>
      </c>
      <c r="G438" t="str">
        <f>UPPER(Table1[[#This Row],[State]])</f>
        <v>BIHAR</v>
      </c>
      <c r="H438" t="s">
        <v>1014</v>
      </c>
      <c r="I438" t="s">
        <v>729</v>
      </c>
      <c r="J438" t="s">
        <v>1025</v>
      </c>
      <c r="K438">
        <v>4799</v>
      </c>
      <c r="L438" s="1">
        <v>43954</v>
      </c>
      <c r="M438" s="1">
        <v>43955</v>
      </c>
      <c r="N438">
        <v>1</v>
      </c>
      <c r="O438" s="4" cm="1">
        <f t="array" ref="O438">_xlfn.IFS(J438="Dell Inspiron 15",66989,J438="Lenovo IdeaPad Slim 3i",34690,J438="Mi NoteBook Ultra",57999,J438="Samsung Galaxy Go",36990,J438="Acer Aspire 3",38980)</f>
        <v>36990</v>
      </c>
      <c r="P438" t="s">
        <v>1029</v>
      </c>
    </row>
    <row r="439" spans="1:16" x14ac:dyDescent="0.25">
      <c r="A439">
        <v>19593</v>
      </c>
      <c r="B439" t="s">
        <v>730</v>
      </c>
      <c r="C439" t="s">
        <v>57</v>
      </c>
      <c r="D439" t="s">
        <v>1032</v>
      </c>
      <c r="E439" t="s">
        <v>1034</v>
      </c>
      <c r="F439" t="s">
        <v>1010</v>
      </c>
      <c r="G439" t="str">
        <f>UPPER(Table1[[#This Row],[State]])</f>
        <v>PUDUCHERRY</v>
      </c>
      <c r="H439" t="s">
        <v>1015</v>
      </c>
      <c r="I439" t="s">
        <v>731</v>
      </c>
      <c r="J439" t="s">
        <v>1026</v>
      </c>
      <c r="K439">
        <v>5071</v>
      </c>
      <c r="L439" s="1">
        <v>44004</v>
      </c>
      <c r="M439" s="1">
        <v>44006</v>
      </c>
      <c r="N439">
        <v>4</v>
      </c>
      <c r="O439" s="4" cm="1">
        <f t="array" ref="O439">_xlfn.IFS(J439="Dell Inspiron 15",66989,J439="Lenovo IdeaPad Slim 3i",34690,J439="Mi NoteBook Ultra",57999,J439="Samsung Galaxy Go",36990,J439="Acer Aspire 3",38980)</f>
        <v>38980</v>
      </c>
      <c r="P439" t="s">
        <v>1029</v>
      </c>
    </row>
    <row r="440" spans="1:16" x14ac:dyDescent="0.25">
      <c r="A440">
        <v>15938</v>
      </c>
      <c r="B440" t="s">
        <v>404</v>
      </c>
      <c r="C440" t="s">
        <v>128</v>
      </c>
      <c r="D440" t="s">
        <v>1032</v>
      </c>
      <c r="E440" t="s">
        <v>1033</v>
      </c>
      <c r="F440" t="s">
        <v>1009</v>
      </c>
      <c r="G440" t="str">
        <f>UPPER(Table1[[#This Row],[State]])</f>
        <v>BIHAR</v>
      </c>
      <c r="H440" t="s">
        <v>1014</v>
      </c>
      <c r="I440" t="s">
        <v>732</v>
      </c>
      <c r="J440" t="s">
        <v>1022</v>
      </c>
      <c r="K440">
        <v>4813</v>
      </c>
      <c r="L440" s="1">
        <v>43927</v>
      </c>
      <c r="M440" s="1">
        <v>43928</v>
      </c>
      <c r="N440">
        <v>1</v>
      </c>
      <c r="O440" s="4" cm="1">
        <f t="array" ref="O440">_xlfn.IFS(J440="Dell Inspiron 15",66989,J440="Lenovo IdeaPad Slim 3i",34690,J440="Mi NoteBook Ultra",57999,J440="Samsung Galaxy Go",36990,J440="Acer Aspire 3",38980)</f>
        <v>66989</v>
      </c>
      <c r="P440" t="s">
        <v>1029</v>
      </c>
    </row>
    <row r="441" spans="1:16" x14ac:dyDescent="0.25">
      <c r="A441">
        <v>17289</v>
      </c>
      <c r="B441" t="s">
        <v>217</v>
      </c>
      <c r="C441" t="s">
        <v>290</v>
      </c>
      <c r="D441" t="s">
        <v>1032</v>
      </c>
      <c r="E441" t="s">
        <v>1035</v>
      </c>
      <c r="F441" t="s">
        <v>1011</v>
      </c>
      <c r="G441" t="str">
        <f>UPPER(Table1[[#This Row],[State]])</f>
        <v>GUJARAT</v>
      </c>
      <c r="H441" t="s">
        <v>1016</v>
      </c>
      <c r="I441" t="s">
        <v>733</v>
      </c>
      <c r="J441" t="s">
        <v>1024</v>
      </c>
      <c r="K441">
        <v>5211</v>
      </c>
      <c r="L441" s="1">
        <v>44004</v>
      </c>
      <c r="M441" s="1">
        <v>44006</v>
      </c>
      <c r="N441">
        <v>5</v>
      </c>
      <c r="O441" s="4" cm="1">
        <f t="array" ref="O441">_xlfn.IFS(J441="Dell Inspiron 15",66989,J441="Lenovo IdeaPad Slim 3i",34690,J441="Mi NoteBook Ultra",57999,J441="Samsung Galaxy Go",36990,J441="Acer Aspire 3",38980)</f>
        <v>57999</v>
      </c>
      <c r="P441" t="s">
        <v>1029</v>
      </c>
    </row>
    <row r="442" spans="1:16" x14ac:dyDescent="0.25">
      <c r="A442">
        <v>24546</v>
      </c>
      <c r="B442" t="s">
        <v>264</v>
      </c>
      <c r="C442" t="s">
        <v>296</v>
      </c>
      <c r="D442" t="s">
        <v>1032</v>
      </c>
      <c r="E442" t="s">
        <v>1035</v>
      </c>
      <c r="F442" t="s">
        <v>1011</v>
      </c>
      <c r="G442" t="str">
        <f>UPPER(Table1[[#This Row],[State]])</f>
        <v>GUJARAT</v>
      </c>
      <c r="H442" t="s">
        <v>1016</v>
      </c>
      <c r="I442" t="s">
        <v>734</v>
      </c>
      <c r="J442" t="s">
        <v>1026</v>
      </c>
      <c r="K442">
        <v>4851</v>
      </c>
      <c r="L442" s="1">
        <v>44004</v>
      </c>
      <c r="M442" s="1">
        <v>44005</v>
      </c>
      <c r="N442">
        <v>10</v>
      </c>
      <c r="O442" s="4" cm="1">
        <f t="array" ref="O442">_xlfn.IFS(J442="Dell Inspiron 15",66989,J442="Lenovo IdeaPad Slim 3i",34690,J442="Mi NoteBook Ultra",57999,J442="Samsung Galaxy Go",36990,J442="Acer Aspire 3",38980)</f>
        <v>38980</v>
      </c>
      <c r="P442" t="s">
        <v>1029</v>
      </c>
    </row>
    <row r="443" spans="1:16" x14ac:dyDescent="0.25">
      <c r="A443">
        <v>14391</v>
      </c>
      <c r="B443" t="s">
        <v>592</v>
      </c>
      <c r="C443" t="s">
        <v>90</v>
      </c>
      <c r="D443" t="s">
        <v>1032</v>
      </c>
      <c r="E443" t="s">
        <v>1036</v>
      </c>
      <c r="F443" t="s">
        <v>1012</v>
      </c>
      <c r="G443" t="str">
        <f>UPPER(Table1[[#This Row],[State]])</f>
        <v>DELHI</v>
      </c>
      <c r="H443" t="s">
        <v>1017</v>
      </c>
      <c r="I443" t="s">
        <v>735</v>
      </c>
      <c r="J443" t="s">
        <v>1022</v>
      </c>
      <c r="K443">
        <v>4967</v>
      </c>
      <c r="L443" s="1">
        <v>43927</v>
      </c>
      <c r="M443" s="1">
        <v>43928</v>
      </c>
      <c r="N443">
        <v>4</v>
      </c>
      <c r="O443" s="4" cm="1">
        <f t="array" ref="O443">_xlfn.IFS(J443="Dell Inspiron 15",66989,J443="Lenovo IdeaPad Slim 3i",34690,J443="Mi NoteBook Ultra",57999,J443="Samsung Galaxy Go",36990,J443="Acer Aspire 3",38980)</f>
        <v>66989</v>
      </c>
      <c r="P443" t="s">
        <v>1029</v>
      </c>
    </row>
    <row r="444" spans="1:16" x14ac:dyDescent="0.25">
      <c r="A444">
        <v>23607</v>
      </c>
      <c r="B444" t="s">
        <v>712</v>
      </c>
      <c r="C444" t="s">
        <v>101</v>
      </c>
      <c r="D444" t="s">
        <v>1032</v>
      </c>
      <c r="E444" t="s">
        <v>1033</v>
      </c>
      <c r="F444" t="s">
        <v>1009</v>
      </c>
      <c r="G444" t="str">
        <f>UPPER(Table1[[#This Row],[State]])</f>
        <v>BIHAR</v>
      </c>
      <c r="H444" t="s">
        <v>1014</v>
      </c>
      <c r="I444" t="s">
        <v>736</v>
      </c>
      <c r="J444" t="s">
        <v>1023</v>
      </c>
      <c r="K444">
        <v>4602</v>
      </c>
      <c r="L444" s="1">
        <v>44004</v>
      </c>
      <c r="M444" s="1">
        <v>44005</v>
      </c>
      <c r="N444">
        <v>8</v>
      </c>
      <c r="O444" s="4" cm="1">
        <f t="array" ref="O444">_xlfn.IFS(J444="Dell Inspiron 15",66989,J444="Lenovo IdeaPad Slim 3i",34690,J444="Mi NoteBook Ultra",57999,J444="Samsung Galaxy Go",36990,J444="Acer Aspire 3",38980)</f>
        <v>34690</v>
      </c>
      <c r="P444" t="s">
        <v>1029</v>
      </c>
    </row>
    <row r="445" spans="1:16" x14ac:dyDescent="0.25">
      <c r="A445">
        <v>14489</v>
      </c>
      <c r="B445" t="s">
        <v>61</v>
      </c>
      <c r="C445" t="s">
        <v>425</v>
      </c>
      <c r="D445" t="s">
        <v>1032</v>
      </c>
      <c r="E445" t="s">
        <v>1035</v>
      </c>
      <c r="F445" t="s">
        <v>1011</v>
      </c>
      <c r="G445" t="str">
        <f>UPPER(Table1[[#This Row],[State]])</f>
        <v>GUJARAT</v>
      </c>
      <c r="H445" t="s">
        <v>1016</v>
      </c>
      <c r="I445" t="s">
        <v>737</v>
      </c>
      <c r="J445" t="s">
        <v>1025</v>
      </c>
      <c r="K445">
        <v>4947</v>
      </c>
      <c r="L445" s="1">
        <v>43833</v>
      </c>
      <c r="M445" s="1">
        <v>43834</v>
      </c>
      <c r="N445">
        <v>6</v>
      </c>
      <c r="O445" s="4" cm="1">
        <f t="array" ref="O445">_xlfn.IFS(J445="Dell Inspiron 15",66989,J445="Lenovo IdeaPad Slim 3i",34690,J445="Mi NoteBook Ultra",57999,J445="Samsung Galaxy Go",36990,J445="Acer Aspire 3",38980)</f>
        <v>36990</v>
      </c>
      <c r="P445" t="s">
        <v>1029</v>
      </c>
    </row>
    <row r="446" spans="1:16" x14ac:dyDescent="0.25">
      <c r="A446">
        <v>25070</v>
      </c>
      <c r="B446" t="s">
        <v>738</v>
      </c>
      <c r="C446" t="s">
        <v>136</v>
      </c>
      <c r="D446" t="s">
        <v>1032</v>
      </c>
      <c r="E446" t="s">
        <v>1036</v>
      </c>
      <c r="F446" t="s">
        <v>1012</v>
      </c>
      <c r="G446" t="str">
        <f>UPPER(Table1[[#This Row],[State]])</f>
        <v>DELHI</v>
      </c>
      <c r="H446" t="s">
        <v>1017</v>
      </c>
      <c r="I446" t="s">
        <v>739</v>
      </c>
      <c r="J446" t="s">
        <v>1022</v>
      </c>
      <c r="K446">
        <v>4652</v>
      </c>
      <c r="L446" s="1">
        <v>43925</v>
      </c>
      <c r="M446" s="1">
        <v>43927</v>
      </c>
      <c r="N446">
        <v>2</v>
      </c>
      <c r="O446" s="4" cm="1">
        <f t="array" ref="O446">_xlfn.IFS(J446="Dell Inspiron 15",66989,J446="Lenovo IdeaPad Slim 3i",34690,J446="Mi NoteBook Ultra",57999,J446="Samsung Galaxy Go",36990,J446="Acer Aspire 3",38980)</f>
        <v>66989</v>
      </c>
      <c r="P446" t="s">
        <v>1029</v>
      </c>
    </row>
    <row r="447" spans="1:16" x14ac:dyDescent="0.25">
      <c r="A447">
        <v>20846</v>
      </c>
      <c r="B447" t="s">
        <v>282</v>
      </c>
      <c r="C447" t="s">
        <v>577</v>
      </c>
      <c r="D447" t="s">
        <v>1032</v>
      </c>
      <c r="E447" t="s">
        <v>1033</v>
      </c>
      <c r="F447" t="s">
        <v>1009</v>
      </c>
      <c r="G447" t="str">
        <f>UPPER(Table1[[#This Row],[State]])</f>
        <v>BIHAR</v>
      </c>
      <c r="H447" t="s">
        <v>1014</v>
      </c>
      <c r="I447" t="s">
        <v>740</v>
      </c>
      <c r="J447" t="s">
        <v>1026</v>
      </c>
      <c r="K447">
        <v>5493</v>
      </c>
      <c r="L447" s="1">
        <v>43925</v>
      </c>
      <c r="M447" s="1">
        <v>43927</v>
      </c>
      <c r="N447">
        <v>1</v>
      </c>
      <c r="O447" s="4" cm="1">
        <f t="array" ref="O447">_xlfn.IFS(J447="Dell Inspiron 15",66989,J447="Lenovo IdeaPad Slim 3i",34690,J447="Mi NoteBook Ultra",57999,J447="Samsung Galaxy Go",36990,J447="Acer Aspire 3",38980)</f>
        <v>38980</v>
      </c>
      <c r="P447" t="s">
        <v>1029</v>
      </c>
    </row>
    <row r="448" spans="1:16" x14ac:dyDescent="0.25">
      <c r="A448">
        <v>15241</v>
      </c>
      <c r="B448" t="s">
        <v>389</v>
      </c>
      <c r="C448" t="s">
        <v>261</v>
      </c>
      <c r="D448" t="s">
        <v>1032</v>
      </c>
      <c r="E448" t="s">
        <v>1036</v>
      </c>
      <c r="F448" t="s">
        <v>1012</v>
      </c>
      <c r="G448" t="str">
        <f>UPPER(Table1[[#This Row],[State]])</f>
        <v>DELHI</v>
      </c>
      <c r="H448" t="s">
        <v>1017</v>
      </c>
      <c r="I448" t="s">
        <v>741</v>
      </c>
      <c r="J448" t="s">
        <v>1024</v>
      </c>
      <c r="K448">
        <v>4614</v>
      </c>
      <c r="L448" s="1">
        <v>43930</v>
      </c>
      <c r="M448" s="1">
        <v>43932</v>
      </c>
      <c r="N448">
        <v>4</v>
      </c>
      <c r="O448" s="4" cm="1">
        <f t="array" ref="O448">_xlfn.IFS(J448="Dell Inspiron 15",66989,J448="Lenovo IdeaPad Slim 3i",34690,J448="Mi NoteBook Ultra",57999,J448="Samsung Galaxy Go",36990,J448="Acer Aspire 3",38980)</f>
        <v>57999</v>
      </c>
      <c r="P448" t="s">
        <v>1029</v>
      </c>
    </row>
    <row r="449" spans="1:16" x14ac:dyDescent="0.25">
      <c r="A449">
        <v>21808</v>
      </c>
      <c r="B449" t="s">
        <v>315</v>
      </c>
      <c r="C449" t="s">
        <v>165</v>
      </c>
      <c r="D449" t="s">
        <v>1032</v>
      </c>
      <c r="E449" t="s">
        <v>1033</v>
      </c>
      <c r="F449" t="s">
        <v>1009</v>
      </c>
      <c r="G449" t="str">
        <f>UPPER(Table1[[#This Row],[State]])</f>
        <v>BIHAR</v>
      </c>
      <c r="H449" t="s">
        <v>1014</v>
      </c>
      <c r="I449" t="s">
        <v>742</v>
      </c>
      <c r="J449" t="s">
        <v>1025</v>
      </c>
      <c r="K449">
        <v>5101</v>
      </c>
      <c r="L449" s="1">
        <v>43833</v>
      </c>
      <c r="M449" s="1">
        <v>43834</v>
      </c>
      <c r="N449">
        <v>10</v>
      </c>
      <c r="O449" s="4" cm="1">
        <f t="array" ref="O449">_xlfn.IFS(J449="Dell Inspiron 15",66989,J449="Lenovo IdeaPad Slim 3i",34690,J449="Mi NoteBook Ultra",57999,J449="Samsung Galaxy Go",36990,J449="Acer Aspire 3",38980)</f>
        <v>36990</v>
      </c>
      <c r="P449" t="s">
        <v>1029</v>
      </c>
    </row>
    <row r="450" spans="1:16" x14ac:dyDescent="0.25">
      <c r="A450">
        <v>20033</v>
      </c>
      <c r="B450" t="s">
        <v>49</v>
      </c>
      <c r="C450" t="s">
        <v>32</v>
      </c>
      <c r="D450" t="s">
        <v>1032</v>
      </c>
      <c r="E450" t="s">
        <v>1034</v>
      </c>
      <c r="F450" t="s">
        <v>1010</v>
      </c>
      <c r="G450" t="str">
        <f>UPPER(Table1[[#This Row],[State]])</f>
        <v>PUDUCHERRY</v>
      </c>
      <c r="H450" t="s">
        <v>1015</v>
      </c>
      <c r="I450" t="s">
        <v>743</v>
      </c>
      <c r="J450" t="s">
        <v>1026</v>
      </c>
      <c r="K450">
        <v>4926</v>
      </c>
      <c r="L450" s="1">
        <v>43925</v>
      </c>
      <c r="M450" s="1">
        <v>43927</v>
      </c>
      <c r="N450">
        <v>8</v>
      </c>
      <c r="O450" s="4" cm="1">
        <f t="array" ref="O450">_xlfn.IFS(J450="Dell Inspiron 15",66989,J450="Lenovo IdeaPad Slim 3i",34690,J450="Mi NoteBook Ultra",57999,J450="Samsung Galaxy Go",36990,J450="Acer Aspire 3",38980)</f>
        <v>38980</v>
      </c>
      <c r="P450" t="s">
        <v>1029</v>
      </c>
    </row>
    <row r="451" spans="1:16" x14ac:dyDescent="0.25">
      <c r="A451">
        <v>23471</v>
      </c>
      <c r="B451" t="s">
        <v>361</v>
      </c>
      <c r="C451" t="s">
        <v>255</v>
      </c>
      <c r="D451" t="s">
        <v>1032</v>
      </c>
      <c r="E451" t="s">
        <v>1033</v>
      </c>
      <c r="F451" t="s">
        <v>1009</v>
      </c>
      <c r="G451" t="str">
        <f>UPPER(Table1[[#This Row],[State]])</f>
        <v>BIHAR</v>
      </c>
      <c r="H451" t="s">
        <v>1014</v>
      </c>
      <c r="I451" t="s">
        <v>744</v>
      </c>
      <c r="J451" t="s">
        <v>1022</v>
      </c>
      <c r="K451">
        <v>4591</v>
      </c>
      <c r="L451" s="1">
        <v>43963</v>
      </c>
      <c r="M451" s="1">
        <v>43965</v>
      </c>
      <c r="N451">
        <v>4</v>
      </c>
      <c r="O451" s="4" cm="1">
        <f t="array" ref="O451">_xlfn.IFS(J451="Dell Inspiron 15",66989,J451="Lenovo IdeaPad Slim 3i",34690,J451="Mi NoteBook Ultra",57999,J451="Samsung Galaxy Go",36990,J451="Acer Aspire 3",38980)</f>
        <v>66989</v>
      </c>
      <c r="P451" t="s">
        <v>1029</v>
      </c>
    </row>
    <row r="452" spans="1:16" x14ac:dyDescent="0.25">
      <c r="A452">
        <v>20377</v>
      </c>
      <c r="B452" t="s">
        <v>219</v>
      </c>
      <c r="C452" t="s">
        <v>316</v>
      </c>
      <c r="D452" t="s">
        <v>1032</v>
      </c>
      <c r="E452" t="s">
        <v>1035</v>
      </c>
      <c r="F452" t="s">
        <v>1011</v>
      </c>
      <c r="G452" t="str">
        <f>UPPER(Table1[[#This Row],[State]])</f>
        <v>GUJARAT</v>
      </c>
      <c r="H452" t="s">
        <v>1016</v>
      </c>
      <c r="I452" t="s">
        <v>745</v>
      </c>
      <c r="J452" t="s">
        <v>1024</v>
      </c>
      <c r="K452">
        <v>5256</v>
      </c>
      <c r="L452" s="1">
        <v>43963</v>
      </c>
      <c r="M452" s="1">
        <v>43964</v>
      </c>
      <c r="N452">
        <v>6</v>
      </c>
      <c r="O452" s="4" cm="1">
        <f t="array" ref="O452">_xlfn.IFS(J452="Dell Inspiron 15",66989,J452="Lenovo IdeaPad Slim 3i",34690,J452="Mi NoteBook Ultra",57999,J452="Samsung Galaxy Go",36990,J452="Acer Aspire 3",38980)</f>
        <v>57999</v>
      </c>
      <c r="P452" t="s">
        <v>1029</v>
      </c>
    </row>
    <row r="453" spans="1:16" x14ac:dyDescent="0.25">
      <c r="A453">
        <v>24401</v>
      </c>
      <c r="B453" t="s">
        <v>145</v>
      </c>
      <c r="C453" t="s">
        <v>746</v>
      </c>
      <c r="D453" t="s">
        <v>1032</v>
      </c>
      <c r="E453" t="s">
        <v>1033</v>
      </c>
      <c r="F453" t="s">
        <v>1009</v>
      </c>
      <c r="G453" t="str">
        <f>UPPER(Table1[[#This Row],[State]])</f>
        <v>BIHAR</v>
      </c>
      <c r="H453" t="s">
        <v>1014</v>
      </c>
      <c r="I453" t="s">
        <v>747</v>
      </c>
      <c r="J453" t="s">
        <v>1026</v>
      </c>
      <c r="K453">
        <v>4812</v>
      </c>
      <c r="L453" s="1">
        <v>43963</v>
      </c>
      <c r="M453" s="1">
        <v>43964</v>
      </c>
      <c r="N453">
        <v>2</v>
      </c>
      <c r="O453" s="4" cm="1">
        <f t="array" ref="O453">_xlfn.IFS(J453="Dell Inspiron 15",66989,J453="Lenovo IdeaPad Slim 3i",34690,J453="Mi NoteBook Ultra",57999,J453="Samsung Galaxy Go",36990,J453="Acer Aspire 3",38980)</f>
        <v>38980</v>
      </c>
      <c r="P453" t="s">
        <v>1029</v>
      </c>
    </row>
    <row r="454" spans="1:16" x14ac:dyDescent="0.25">
      <c r="A454">
        <v>15249</v>
      </c>
      <c r="B454" t="s">
        <v>76</v>
      </c>
      <c r="C454" t="s">
        <v>170</v>
      </c>
      <c r="D454" t="s">
        <v>1032</v>
      </c>
      <c r="E454" t="s">
        <v>1034</v>
      </c>
      <c r="F454" t="s">
        <v>1010</v>
      </c>
      <c r="G454" t="str">
        <f>UPPER(Table1[[#This Row],[State]])</f>
        <v>PUDUCHERRY</v>
      </c>
      <c r="H454" t="s">
        <v>1015</v>
      </c>
      <c r="I454" t="s">
        <v>748</v>
      </c>
      <c r="J454" t="s">
        <v>1022</v>
      </c>
      <c r="K454">
        <v>4904</v>
      </c>
      <c r="L454" s="1">
        <v>43963</v>
      </c>
      <c r="M454" s="1">
        <v>43964</v>
      </c>
      <c r="N454">
        <v>6</v>
      </c>
      <c r="O454" s="4" cm="1">
        <f t="array" ref="O454">_xlfn.IFS(J454="Dell Inspiron 15",66989,J454="Lenovo IdeaPad Slim 3i",34690,J454="Mi NoteBook Ultra",57999,J454="Samsung Galaxy Go",36990,J454="Acer Aspire 3",38980)</f>
        <v>66989</v>
      </c>
      <c r="P454" t="s">
        <v>1029</v>
      </c>
    </row>
    <row r="455" spans="1:16" x14ac:dyDescent="0.25">
      <c r="A455">
        <v>24708</v>
      </c>
      <c r="B455" t="s">
        <v>337</v>
      </c>
      <c r="C455" t="s">
        <v>139</v>
      </c>
      <c r="D455" t="s">
        <v>1032</v>
      </c>
      <c r="E455" t="s">
        <v>1033</v>
      </c>
      <c r="F455" t="s">
        <v>1009</v>
      </c>
      <c r="G455" t="str">
        <f>UPPER(Table1[[#This Row],[State]])</f>
        <v>BIHAR</v>
      </c>
      <c r="H455" t="s">
        <v>1014</v>
      </c>
      <c r="I455" t="s">
        <v>749</v>
      </c>
      <c r="J455" t="s">
        <v>1023</v>
      </c>
      <c r="K455">
        <v>4969</v>
      </c>
      <c r="L455" s="1">
        <v>43929</v>
      </c>
      <c r="M455" s="1">
        <v>43930</v>
      </c>
      <c r="N455">
        <v>7</v>
      </c>
      <c r="O455" s="4" cm="1">
        <f t="array" ref="O455">_xlfn.IFS(J455="Dell Inspiron 15",66989,J455="Lenovo IdeaPad Slim 3i",34690,J455="Mi NoteBook Ultra",57999,J455="Samsung Galaxy Go",36990,J455="Acer Aspire 3",38980)</f>
        <v>34690</v>
      </c>
      <c r="P455" t="s">
        <v>1029</v>
      </c>
    </row>
    <row r="456" spans="1:16" x14ac:dyDescent="0.25">
      <c r="A456">
        <v>21443</v>
      </c>
      <c r="B456" t="s">
        <v>750</v>
      </c>
      <c r="C456" t="s">
        <v>8</v>
      </c>
      <c r="D456" t="s">
        <v>1032</v>
      </c>
      <c r="E456" t="s">
        <v>1035</v>
      </c>
      <c r="F456" t="s">
        <v>1011</v>
      </c>
      <c r="G456" t="str">
        <f>UPPER(Table1[[#This Row],[State]])</f>
        <v>GUJARAT</v>
      </c>
      <c r="H456" t="s">
        <v>1016</v>
      </c>
      <c r="I456" t="s">
        <v>751</v>
      </c>
      <c r="J456" t="s">
        <v>1024</v>
      </c>
      <c r="K456">
        <v>5202</v>
      </c>
      <c r="L456" s="1">
        <v>43979</v>
      </c>
      <c r="M456" s="1">
        <v>43979</v>
      </c>
      <c r="N456">
        <v>4</v>
      </c>
      <c r="O456" s="4" cm="1">
        <f t="array" ref="O456">_xlfn.IFS(J456="Dell Inspiron 15",66989,J456="Lenovo IdeaPad Slim 3i",34690,J456="Mi NoteBook Ultra",57999,J456="Samsung Galaxy Go",36990,J456="Acer Aspire 3",38980)</f>
        <v>57999</v>
      </c>
      <c r="P456" t="s">
        <v>1029</v>
      </c>
    </row>
    <row r="457" spans="1:16" x14ac:dyDescent="0.25">
      <c r="A457">
        <v>25376</v>
      </c>
      <c r="B457" t="s">
        <v>453</v>
      </c>
      <c r="C457" t="s">
        <v>666</v>
      </c>
      <c r="D457" t="s">
        <v>1032</v>
      </c>
      <c r="E457" t="s">
        <v>1035</v>
      </c>
      <c r="F457" t="s">
        <v>1011</v>
      </c>
      <c r="G457" t="str">
        <f>UPPER(Table1[[#This Row],[State]])</f>
        <v>GUJARAT</v>
      </c>
      <c r="H457" t="s">
        <v>1016</v>
      </c>
      <c r="I457" t="s">
        <v>752</v>
      </c>
      <c r="J457" t="s">
        <v>1025</v>
      </c>
      <c r="K457">
        <v>5526</v>
      </c>
      <c r="L457" s="1">
        <v>43873</v>
      </c>
      <c r="M457" s="1">
        <v>43876</v>
      </c>
      <c r="N457">
        <v>7</v>
      </c>
      <c r="O457" s="4" cm="1">
        <f t="array" ref="O457">_xlfn.IFS(J457="Dell Inspiron 15",66989,J457="Lenovo IdeaPad Slim 3i",34690,J457="Mi NoteBook Ultra",57999,J457="Samsung Galaxy Go",36990,J457="Acer Aspire 3",38980)</f>
        <v>36990</v>
      </c>
      <c r="P457" t="s">
        <v>1029</v>
      </c>
    </row>
    <row r="458" spans="1:16" x14ac:dyDescent="0.25">
      <c r="A458">
        <v>21124</v>
      </c>
      <c r="B458" t="s">
        <v>344</v>
      </c>
      <c r="C458" t="s">
        <v>461</v>
      </c>
      <c r="D458" t="s">
        <v>1032</v>
      </c>
      <c r="E458" t="s">
        <v>1035</v>
      </c>
      <c r="F458" t="s">
        <v>1011</v>
      </c>
      <c r="G458" t="str">
        <f>UPPER(Table1[[#This Row],[State]])</f>
        <v>GUJARAT</v>
      </c>
      <c r="H458" t="s">
        <v>1016</v>
      </c>
      <c r="I458" t="s">
        <v>753</v>
      </c>
      <c r="J458" t="s">
        <v>1026</v>
      </c>
      <c r="K458">
        <v>5353</v>
      </c>
      <c r="L458" s="1">
        <v>43873</v>
      </c>
      <c r="M458" s="1">
        <v>43875</v>
      </c>
      <c r="N458">
        <v>3</v>
      </c>
      <c r="O458" s="4" cm="1">
        <f t="array" ref="O458">_xlfn.IFS(J458="Dell Inspiron 15",66989,J458="Lenovo IdeaPad Slim 3i",34690,J458="Mi NoteBook Ultra",57999,J458="Samsung Galaxy Go",36990,J458="Acer Aspire 3",38980)</f>
        <v>38980</v>
      </c>
      <c r="P458" t="s">
        <v>1029</v>
      </c>
    </row>
    <row r="459" spans="1:16" x14ac:dyDescent="0.25">
      <c r="A459">
        <v>12786</v>
      </c>
      <c r="B459" t="s">
        <v>264</v>
      </c>
      <c r="C459" t="s">
        <v>205</v>
      </c>
      <c r="D459" t="s">
        <v>1032</v>
      </c>
      <c r="E459" t="s">
        <v>1035</v>
      </c>
      <c r="F459" t="s">
        <v>1011</v>
      </c>
      <c r="G459" t="str">
        <f>UPPER(Table1[[#This Row],[State]])</f>
        <v>GUJARAT</v>
      </c>
      <c r="H459" t="s">
        <v>1016</v>
      </c>
      <c r="I459" t="s">
        <v>754</v>
      </c>
      <c r="J459" t="s">
        <v>1022</v>
      </c>
      <c r="K459">
        <v>5251</v>
      </c>
      <c r="L459" s="1">
        <v>43966</v>
      </c>
      <c r="M459" s="1">
        <v>43967</v>
      </c>
      <c r="N459">
        <v>8</v>
      </c>
      <c r="O459" s="4" cm="1">
        <f t="array" ref="O459">_xlfn.IFS(J459="Dell Inspiron 15",66989,J459="Lenovo IdeaPad Slim 3i",34690,J459="Mi NoteBook Ultra",57999,J459="Samsung Galaxy Go",36990,J459="Acer Aspire 3",38980)</f>
        <v>66989</v>
      </c>
      <c r="P459" t="s">
        <v>1029</v>
      </c>
    </row>
    <row r="460" spans="1:16" x14ac:dyDescent="0.25">
      <c r="A460">
        <v>22486</v>
      </c>
      <c r="B460" t="s">
        <v>592</v>
      </c>
      <c r="C460" t="s">
        <v>63</v>
      </c>
      <c r="D460" t="s">
        <v>1032</v>
      </c>
      <c r="E460" t="s">
        <v>1036</v>
      </c>
      <c r="F460" t="s">
        <v>1012</v>
      </c>
      <c r="G460" t="str">
        <f>UPPER(Table1[[#This Row],[State]])</f>
        <v>DELHI</v>
      </c>
      <c r="H460" t="s">
        <v>1017</v>
      </c>
      <c r="I460" t="s">
        <v>755</v>
      </c>
      <c r="J460" t="s">
        <v>1024</v>
      </c>
      <c r="K460">
        <v>5426</v>
      </c>
      <c r="L460" s="1">
        <v>43972</v>
      </c>
      <c r="M460" s="1">
        <v>43974</v>
      </c>
      <c r="N460">
        <v>5</v>
      </c>
      <c r="O460" s="4" cm="1">
        <f t="array" ref="O460">_xlfn.IFS(J460="Dell Inspiron 15",66989,J460="Lenovo IdeaPad Slim 3i",34690,J460="Mi NoteBook Ultra",57999,J460="Samsung Galaxy Go",36990,J460="Acer Aspire 3",38980)</f>
        <v>57999</v>
      </c>
      <c r="P460" t="s">
        <v>1029</v>
      </c>
    </row>
    <row r="461" spans="1:16" x14ac:dyDescent="0.25">
      <c r="A461">
        <v>19250</v>
      </c>
      <c r="B461" t="s">
        <v>130</v>
      </c>
      <c r="C461" t="s">
        <v>214</v>
      </c>
      <c r="D461" t="s">
        <v>1032</v>
      </c>
      <c r="E461" t="s">
        <v>1033</v>
      </c>
      <c r="F461" t="s">
        <v>1009</v>
      </c>
      <c r="G461" t="str">
        <f>UPPER(Table1[[#This Row],[State]])</f>
        <v>BIHAR</v>
      </c>
      <c r="H461" t="s">
        <v>1014</v>
      </c>
      <c r="I461" t="s">
        <v>756</v>
      </c>
      <c r="J461" t="s">
        <v>1025</v>
      </c>
      <c r="K461">
        <v>5117</v>
      </c>
      <c r="L461" s="1">
        <v>43966</v>
      </c>
      <c r="M461" s="1">
        <v>43967</v>
      </c>
      <c r="N461">
        <v>9</v>
      </c>
      <c r="O461" s="4" cm="1">
        <f t="array" ref="O461">_xlfn.IFS(J461="Dell Inspiron 15",66989,J461="Lenovo IdeaPad Slim 3i",34690,J461="Mi NoteBook Ultra",57999,J461="Samsung Galaxy Go",36990,J461="Acer Aspire 3",38980)</f>
        <v>36990</v>
      </c>
      <c r="P461" t="s">
        <v>1029</v>
      </c>
    </row>
    <row r="462" spans="1:16" x14ac:dyDescent="0.25">
      <c r="A462">
        <v>24975</v>
      </c>
      <c r="B462" t="s">
        <v>34</v>
      </c>
      <c r="C462" t="s">
        <v>268</v>
      </c>
      <c r="D462" t="s">
        <v>1032</v>
      </c>
      <c r="E462" t="s">
        <v>1034</v>
      </c>
      <c r="F462" t="s">
        <v>1010</v>
      </c>
      <c r="G462" t="str">
        <f>UPPER(Table1[[#This Row],[State]])</f>
        <v>PUDUCHERRY</v>
      </c>
      <c r="H462" t="s">
        <v>1015</v>
      </c>
      <c r="I462" t="s">
        <v>757</v>
      </c>
      <c r="J462" t="s">
        <v>1026</v>
      </c>
      <c r="K462">
        <v>4668</v>
      </c>
      <c r="L462" s="1">
        <v>43972</v>
      </c>
      <c r="M462" s="1">
        <v>43973</v>
      </c>
      <c r="N462">
        <v>9</v>
      </c>
      <c r="O462" s="4" cm="1">
        <f t="array" ref="O462">_xlfn.IFS(J462="Dell Inspiron 15",66989,J462="Lenovo IdeaPad Slim 3i",34690,J462="Mi NoteBook Ultra",57999,J462="Samsung Galaxy Go",36990,J462="Acer Aspire 3",38980)</f>
        <v>38980</v>
      </c>
      <c r="P462" t="s">
        <v>1029</v>
      </c>
    </row>
    <row r="463" spans="1:16" x14ac:dyDescent="0.25">
      <c r="A463">
        <v>15080</v>
      </c>
      <c r="B463" t="s">
        <v>274</v>
      </c>
      <c r="C463" t="s">
        <v>128</v>
      </c>
      <c r="D463" t="s">
        <v>1032</v>
      </c>
      <c r="E463" t="s">
        <v>1033</v>
      </c>
      <c r="F463" t="s">
        <v>1009</v>
      </c>
      <c r="G463" t="str">
        <f>UPPER(Table1[[#This Row],[State]])</f>
        <v>BIHAR</v>
      </c>
      <c r="H463" t="s">
        <v>1014</v>
      </c>
      <c r="I463" t="s">
        <v>758</v>
      </c>
      <c r="J463" t="s">
        <v>1022</v>
      </c>
      <c r="K463">
        <v>4996</v>
      </c>
      <c r="L463" s="1">
        <v>43972</v>
      </c>
      <c r="M463" s="1">
        <v>43974</v>
      </c>
      <c r="N463">
        <v>10</v>
      </c>
      <c r="O463" s="4" cm="1">
        <f t="array" ref="O463">_xlfn.IFS(J463="Dell Inspiron 15",66989,J463="Lenovo IdeaPad Slim 3i",34690,J463="Mi NoteBook Ultra",57999,J463="Samsung Galaxy Go",36990,J463="Acer Aspire 3",38980)</f>
        <v>66989</v>
      </c>
      <c r="P463" t="s">
        <v>1029</v>
      </c>
    </row>
    <row r="464" spans="1:16" x14ac:dyDescent="0.25">
      <c r="A464">
        <v>18178</v>
      </c>
      <c r="B464" t="s">
        <v>364</v>
      </c>
      <c r="C464" t="s">
        <v>521</v>
      </c>
      <c r="D464" t="s">
        <v>1032</v>
      </c>
      <c r="E464" t="s">
        <v>1035</v>
      </c>
      <c r="F464" t="s">
        <v>1011</v>
      </c>
      <c r="G464" t="str">
        <f>UPPER(Table1[[#This Row],[State]])</f>
        <v>GUJARAT</v>
      </c>
      <c r="H464" t="s">
        <v>1016</v>
      </c>
      <c r="I464" t="s">
        <v>759</v>
      </c>
      <c r="J464" t="s">
        <v>1024</v>
      </c>
      <c r="K464">
        <v>4856</v>
      </c>
      <c r="L464" s="1">
        <v>43858</v>
      </c>
      <c r="M464" s="1">
        <v>43859</v>
      </c>
      <c r="N464">
        <v>8</v>
      </c>
      <c r="O464" s="4" cm="1">
        <f t="array" ref="O464">_xlfn.IFS(J464="Dell Inspiron 15",66989,J464="Lenovo IdeaPad Slim 3i",34690,J464="Mi NoteBook Ultra",57999,J464="Samsung Galaxy Go",36990,J464="Acer Aspire 3",38980)</f>
        <v>57999</v>
      </c>
      <c r="P464" t="s">
        <v>1029</v>
      </c>
    </row>
    <row r="465" spans="1:16" x14ac:dyDescent="0.25">
      <c r="A465">
        <v>18547</v>
      </c>
      <c r="B465" t="s">
        <v>760</v>
      </c>
      <c r="C465" t="s">
        <v>649</v>
      </c>
      <c r="D465" t="s">
        <v>1032</v>
      </c>
      <c r="E465" t="s">
        <v>1035</v>
      </c>
      <c r="F465" t="s">
        <v>1011</v>
      </c>
      <c r="G465" t="str">
        <f>UPPER(Table1[[#This Row],[State]])</f>
        <v>GUJARAT</v>
      </c>
      <c r="H465" t="s">
        <v>1016</v>
      </c>
      <c r="I465" t="s">
        <v>761</v>
      </c>
      <c r="J465" t="s">
        <v>1026</v>
      </c>
      <c r="K465">
        <v>4599</v>
      </c>
      <c r="L465" s="1">
        <v>43858</v>
      </c>
      <c r="M465" s="1">
        <v>43860</v>
      </c>
      <c r="N465">
        <v>2</v>
      </c>
      <c r="O465" s="4" cm="1">
        <f t="array" ref="O465">_xlfn.IFS(J465="Dell Inspiron 15",66989,J465="Lenovo IdeaPad Slim 3i",34690,J465="Mi NoteBook Ultra",57999,J465="Samsung Galaxy Go",36990,J465="Acer Aspire 3",38980)</f>
        <v>38980</v>
      </c>
      <c r="P465" t="s">
        <v>1029</v>
      </c>
    </row>
    <row r="466" spans="1:16" x14ac:dyDescent="0.25">
      <c r="A466">
        <v>20507</v>
      </c>
      <c r="B466" t="s">
        <v>289</v>
      </c>
      <c r="C466" t="s">
        <v>148</v>
      </c>
      <c r="D466" t="s">
        <v>1032</v>
      </c>
      <c r="E466" t="s">
        <v>1036</v>
      </c>
      <c r="F466" t="s">
        <v>1012</v>
      </c>
      <c r="G466" t="str">
        <f>UPPER(Table1[[#This Row],[State]])</f>
        <v>DELHI</v>
      </c>
      <c r="H466" t="s">
        <v>1017</v>
      </c>
      <c r="I466" t="s">
        <v>762</v>
      </c>
      <c r="J466" t="s">
        <v>1022</v>
      </c>
      <c r="K466">
        <v>5001</v>
      </c>
      <c r="L466" s="1">
        <v>43953</v>
      </c>
      <c r="M466" s="1">
        <v>43955</v>
      </c>
      <c r="N466">
        <v>8</v>
      </c>
      <c r="O466" s="4" cm="1">
        <f t="array" ref="O466">_xlfn.IFS(J466="Dell Inspiron 15",66989,J466="Lenovo IdeaPad Slim 3i",34690,J466="Mi NoteBook Ultra",57999,J466="Samsung Galaxy Go",36990,J466="Acer Aspire 3",38980)</f>
        <v>66989</v>
      </c>
      <c r="P466" t="s">
        <v>1029</v>
      </c>
    </row>
    <row r="467" spans="1:16" x14ac:dyDescent="0.25">
      <c r="A467">
        <v>13732</v>
      </c>
      <c r="B467" t="s">
        <v>464</v>
      </c>
      <c r="C467" t="s">
        <v>6</v>
      </c>
      <c r="D467" t="s">
        <v>1032</v>
      </c>
      <c r="E467" t="s">
        <v>1033</v>
      </c>
      <c r="F467" t="s">
        <v>1009</v>
      </c>
      <c r="G467" t="str">
        <f>UPPER(Table1[[#This Row],[State]])</f>
        <v>BIHAR</v>
      </c>
      <c r="H467" t="s">
        <v>1014</v>
      </c>
      <c r="I467" t="s">
        <v>763</v>
      </c>
      <c r="J467" t="s">
        <v>1023</v>
      </c>
      <c r="K467">
        <v>5359</v>
      </c>
      <c r="L467" s="1">
        <v>43883</v>
      </c>
      <c r="M467" s="1">
        <v>43884</v>
      </c>
      <c r="N467">
        <v>7</v>
      </c>
      <c r="O467" s="4" cm="1">
        <f t="array" ref="O467">_xlfn.IFS(J467="Dell Inspiron 15",66989,J467="Lenovo IdeaPad Slim 3i",34690,J467="Mi NoteBook Ultra",57999,J467="Samsung Galaxy Go",36990,J467="Acer Aspire 3",38980)</f>
        <v>34690</v>
      </c>
      <c r="P467" t="s">
        <v>1029</v>
      </c>
    </row>
    <row r="468" spans="1:16" x14ac:dyDescent="0.25">
      <c r="A468">
        <v>15312</v>
      </c>
      <c r="B468" t="s">
        <v>109</v>
      </c>
      <c r="C468" t="s">
        <v>764</v>
      </c>
      <c r="D468" t="s">
        <v>1032</v>
      </c>
      <c r="E468" t="s">
        <v>1034</v>
      </c>
      <c r="F468" t="s">
        <v>1010</v>
      </c>
      <c r="G468" t="str">
        <f>UPPER(Table1[[#This Row],[State]])</f>
        <v>PUDUCHERRY</v>
      </c>
      <c r="H468" t="s">
        <v>1015</v>
      </c>
      <c r="I468" t="s">
        <v>765</v>
      </c>
      <c r="J468" t="s">
        <v>1025</v>
      </c>
      <c r="K468">
        <v>4913</v>
      </c>
      <c r="L468" s="1">
        <v>43917</v>
      </c>
      <c r="M468" s="1">
        <v>43918</v>
      </c>
      <c r="N468">
        <v>2</v>
      </c>
      <c r="O468" s="4" cm="1">
        <f t="array" ref="O468">_xlfn.IFS(J468="Dell Inspiron 15",66989,J468="Lenovo IdeaPad Slim 3i",34690,J468="Mi NoteBook Ultra",57999,J468="Samsung Galaxy Go",36990,J468="Acer Aspire 3",38980)</f>
        <v>36990</v>
      </c>
      <c r="P468" t="s">
        <v>1029</v>
      </c>
    </row>
    <row r="469" spans="1:16" x14ac:dyDescent="0.25">
      <c r="A469">
        <v>17958</v>
      </c>
      <c r="B469" t="s">
        <v>133</v>
      </c>
      <c r="C469" t="s">
        <v>66</v>
      </c>
      <c r="D469" t="s">
        <v>1032</v>
      </c>
      <c r="E469" t="s">
        <v>1033</v>
      </c>
      <c r="F469" t="s">
        <v>1009</v>
      </c>
      <c r="G469" t="str">
        <f>UPPER(Table1[[#This Row],[State]])</f>
        <v>BIHAR</v>
      </c>
      <c r="H469" t="s">
        <v>1014</v>
      </c>
      <c r="I469" t="s">
        <v>766</v>
      </c>
      <c r="J469" t="s">
        <v>1022</v>
      </c>
      <c r="K469">
        <v>4846</v>
      </c>
      <c r="L469" s="1">
        <v>43850</v>
      </c>
      <c r="M469" s="1">
        <v>43852</v>
      </c>
      <c r="N469">
        <v>3</v>
      </c>
      <c r="O469" s="4" cm="1">
        <f t="array" ref="O469">_xlfn.IFS(J469="Dell Inspiron 15",66989,J469="Lenovo IdeaPad Slim 3i",34690,J469="Mi NoteBook Ultra",57999,J469="Samsung Galaxy Go",36990,J469="Acer Aspire 3",38980)</f>
        <v>66989</v>
      </c>
      <c r="P469" t="s">
        <v>1029</v>
      </c>
    </row>
    <row r="470" spans="1:16" x14ac:dyDescent="0.25">
      <c r="A470">
        <v>16972</v>
      </c>
      <c r="B470" t="s">
        <v>122</v>
      </c>
      <c r="C470" t="s">
        <v>11</v>
      </c>
      <c r="D470" t="s">
        <v>1032</v>
      </c>
      <c r="E470" t="s">
        <v>1035</v>
      </c>
      <c r="F470" t="s">
        <v>1011</v>
      </c>
      <c r="G470" t="str">
        <f>UPPER(Table1[[#This Row],[State]])</f>
        <v>GUJARAT</v>
      </c>
      <c r="H470" t="s">
        <v>1016</v>
      </c>
      <c r="I470" t="s">
        <v>767</v>
      </c>
      <c r="J470" t="s">
        <v>1026</v>
      </c>
      <c r="K470">
        <v>5046</v>
      </c>
      <c r="L470" s="1">
        <v>43902</v>
      </c>
      <c r="M470" s="1">
        <v>43909</v>
      </c>
      <c r="N470">
        <v>8</v>
      </c>
      <c r="O470" s="4" cm="1">
        <f t="array" ref="O470">_xlfn.IFS(J470="Dell Inspiron 15",66989,J470="Lenovo IdeaPad Slim 3i",34690,J470="Mi NoteBook Ultra",57999,J470="Samsung Galaxy Go",36990,J470="Acer Aspire 3",38980)</f>
        <v>38980</v>
      </c>
      <c r="P470" t="s">
        <v>1029</v>
      </c>
    </row>
    <row r="471" spans="1:16" x14ac:dyDescent="0.25">
      <c r="A471">
        <v>20784</v>
      </c>
      <c r="B471" t="s">
        <v>16</v>
      </c>
      <c r="C471" t="s">
        <v>85</v>
      </c>
      <c r="D471" t="s">
        <v>1032</v>
      </c>
      <c r="E471" t="s">
        <v>1035</v>
      </c>
      <c r="F471" t="s">
        <v>1011</v>
      </c>
      <c r="G471" t="str">
        <f>UPPER(Table1[[#This Row],[State]])</f>
        <v>GUJARAT</v>
      </c>
      <c r="H471" t="s">
        <v>1016</v>
      </c>
      <c r="I471" t="s">
        <v>768</v>
      </c>
      <c r="J471" t="s">
        <v>1024</v>
      </c>
      <c r="K471">
        <v>5042</v>
      </c>
      <c r="L471" s="1">
        <v>43997</v>
      </c>
      <c r="M471" s="1">
        <v>43999</v>
      </c>
      <c r="N471">
        <v>5</v>
      </c>
      <c r="O471" s="4" cm="1">
        <f t="array" ref="O471">_xlfn.IFS(J471="Dell Inspiron 15",66989,J471="Lenovo IdeaPad Slim 3i",34690,J471="Mi NoteBook Ultra",57999,J471="Samsung Galaxy Go",36990,J471="Acer Aspire 3",38980)</f>
        <v>57999</v>
      </c>
      <c r="P471" t="s">
        <v>1029</v>
      </c>
    </row>
    <row r="472" spans="1:16" x14ac:dyDescent="0.25">
      <c r="A472">
        <v>15385</v>
      </c>
      <c r="B472" t="s">
        <v>320</v>
      </c>
      <c r="C472" t="s">
        <v>261</v>
      </c>
      <c r="D472" t="s">
        <v>1032</v>
      </c>
      <c r="E472" t="s">
        <v>1035</v>
      </c>
      <c r="F472" t="s">
        <v>1011</v>
      </c>
      <c r="G472" t="str">
        <f>UPPER(Table1[[#This Row],[State]])</f>
        <v>GUJARAT</v>
      </c>
      <c r="H472" t="s">
        <v>1016</v>
      </c>
      <c r="I472" t="s">
        <v>769</v>
      </c>
      <c r="J472" t="s">
        <v>1025</v>
      </c>
      <c r="K472">
        <v>5312</v>
      </c>
      <c r="L472" s="1">
        <v>43997</v>
      </c>
      <c r="M472" s="1">
        <v>43998</v>
      </c>
      <c r="N472">
        <v>9</v>
      </c>
      <c r="O472" s="4" cm="1">
        <f t="array" ref="O472">_xlfn.IFS(J472="Dell Inspiron 15",66989,J472="Lenovo IdeaPad Slim 3i",34690,J472="Mi NoteBook Ultra",57999,J472="Samsung Galaxy Go",36990,J472="Acer Aspire 3",38980)</f>
        <v>36990</v>
      </c>
      <c r="P472" t="s">
        <v>1029</v>
      </c>
    </row>
    <row r="473" spans="1:16" x14ac:dyDescent="0.25">
      <c r="A473">
        <v>16834</v>
      </c>
      <c r="B473" t="s">
        <v>68</v>
      </c>
      <c r="C473" t="s">
        <v>105</v>
      </c>
      <c r="D473" t="s">
        <v>1032</v>
      </c>
      <c r="E473" t="s">
        <v>1035</v>
      </c>
      <c r="F473" t="s">
        <v>1011</v>
      </c>
      <c r="G473" t="str">
        <f>UPPER(Table1[[#This Row],[State]])</f>
        <v>GUJARAT</v>
      </c>
      <c r="H473" t="s">
        <v>1016</v>
      </c>
      <c r="I473" t="s">
        <v>770</v>
      </c>
      <c r="J473" t="s">
        <v>1026</v>
      </c>
      <c r="K473">
        <v>5366</v>
      </c>
      <c r="L473" s="1">
        <v>43961</v>
      </c>
      <c r="M473" s="1">
        <v>43962</v>
      </c>
      <c r="N473">
        <v>3</v>
      </c>
      <c r="O473" s="4" cm="1">
        <f t="array" ref="O473">_xlfn.IFS(J473="Dell Inspiron 15",66989,J473="Lenovo IdeaPad Slim 3i",34690,J473="Mi NoteBook Ultra",57999,J473="Samsung Galaxy Go",36990,J473="Acer Aspire 3",38980)</f>
        <v>38980</v>
      </c>
      <c r="P473" t="s">
        <v>1029</v>
      </c>
    </row>
    <row r="474" spans="1:16" x14ac:dyDescent="0.25">
      <c r="A474">
        <v>17365</v>
      </c>
      <c r="B474" t="s">
        <v>353</v>
      </c>
      <c r="C474" t="s">
        <v>255</v>
      </c>
      <c r="D474" t="s">
        <v>1032</v>
      </c>
      <c r="E474" t="s">
        <v>1036</v>
      </c>
      <c r="F474" t="s">
        <v>1012</v>
      </c>
      <c r="G474" t="str">
        <f>UPPER(Table1[[#This Row],[State]])</f>
        <v>DELHI</v>
      </c>
      <c r="H474" t="s">
        <v>1017</v>
      </c>
      <c r="I474" t="s">
        <v>771</v>
      </c>
      <c r="J474" t="s">
        <v>1022</v>
      </c>
      <c r="K474">
        <v>5382</v>
      </c>
      <c r="L474" s="1">
        <v>43900</v>
      </c>
      <c r="M474" s="1">
        <v>43900</v>
      </c>
      <c r="N474">
        <v>8</v>
      </c>
      <c r="O474" s="4" cm="1">
        <f t="array" ref="O474">_xlfn.IFS(J474="Dell Inspiron 15",66989,J474="Lenovo IdeaPad Slim 3i",34690,J474="Mi NoteBook Ultra",57999,J474="Samsung Galaxy Go",36990,J474="Acer Aspire 3",38980)</f>
        <v>66989</v>
      </c>
      <c r="P474" t="s">
        <v>1029</v>
      </c>
    </row>
    <row r="475" spans="1:16" x14ac:dyDescent="0.25">
      <c r="A475">
        <v>15300</v>
      </c>
      <c r="B475" t="s">
        <v>323</v>
      </c>
      <c r="C475" t="s">
        <v>306</v>
      </c>
      <c r="D475" t="s">
        <v>1032</v>
      </c>
      <c r="E475" t="s">
        <v>1033</v>
      </c>
      <c r="F475" t="s">
        <v>1009</v>
      </c>
      <c r="G475" t="str">
        <f>UPPER(Table1[[#This Row],[State]])</f>
        <v>BIHAR</v>
      </c>
      <c r="H475" t="s">
        <v>1014</v>
      </c>
      <c r="I475" t="s">
        <v>772</v>
      </c>
      <c r="J475" t="s">
        <v>1024</v>
      </c>
      <c r="K475">
        <v>5107</v>
      </c>
      <c r="L475" s="1">
        <v>43858</v>
      </c>
      <c r="M475" s="1">
        <v>43860</v>
      </c>
      <c r="N475">
        <v>8</v>
      </c>
      <c r="O475" s="4" cm="1">
        <f t="array" ref="O475">_xlfn.IFS(J475="Dell Inspiron 15",66989,J475="Lenovo IdeaPad Slim 3i",34690,J475="Mi NoteBook Ultra",57999,J475="Samsung Galaxy Go",36990,J475="Acer Aspire 3",38980)</f>
        <v>57999</v>
      </c>
      <c r="P475" t="s">
        <v>1029</v>
      </c>
    </row>
    <row r="476" spans="1:16" x14ac:dyDescent="0.25">
      <c r="A476">
        <v>23891</v>
      </c>
      <c r="B476" t="s">
        <v>517</v>
      </c>
      <c r="C476" t="s">
        <v>41</v>
      </c>
      <c r="D476" t="s">
        <v>1032</v>
      </c>
      <c r="E476" t="s">
        <v>1034</v>
      </c>
      <c r="F476" t="s">
        <v>1010</v>
      </c>
      <c r="G476" t="str">
        <f>UPPER(Table1[[#This Row],[State]])</f>
        <v>PUDUCHERRY</v>
      </c>
      <c r="H476" t="s">
        <v>1015</v>
      </c>
      <c r="I476" t="s">
        <v>773</v>
      </c>
      <c r="J476" t="s">
        <v>1026</v>
      </c>
      <c r="K476">
        <v>4723</v>
      </c>
      <c r="L476" s="1">
        <v>43900</v>
      </c>
      <c r="M476" s="1">
        <v>43901</v>
      </c>
      <c r="N476">
        <v>5</v>
      </c>
      <c r="O476" s="4" cm="1">
        <f t="array" ref="O476">_xlfn.IFS(J476="Dell Inspiron 15",66989,J476="Lenovo IdeaPad Slim 3i",34690,J476="Mi NoteBook Ultra",57999,J476="Samsung Galaxy Go",36990,J476="Acer Aspire 3",38980)</f>
        <v>38980</v>
      </c>
      <c r="P476" t="s">
        <v>1029</v>
      </c>
    </row>
    <row r="477" spans="1:16" x14ac:dyDescent="0.25">
      <c r="A477">
        <v>19125</v>
      </c>
      <c r="B477" t="s">
        <v>13</v>
      </c>
      <c r="C477" t="s">
        <v>316</v>
      </c>
      <c r="D477" t="s">
        <v>1032</v>
      </c>
      <c r="E477" t="s">
        <v>1033</v>
      </c>
      <c r="F477" t="s">
        <v>1009</v>
      </c>
      <c r="G477" t="str">
        <f>UPPER(Table1[[#This Row],[State]])</f>
        <v>BIHAR</v>
      </c>
      <c r="H477" t="s">
        <v>1014</v>
      </c>
      <c r="I477" t="s">
        <v>774</v>
      </c>
      <c r="J477" t="s">
        <v>1022</v>
      </c>
      <c r="K477">
        <v>4709</v>
      </c>
      <c r="L477" s="1">
        <v>43941</v>
      </c>
      <c r="M477" s="1">
        <v>43942</v>
      </c>
      <c r="N477">
        <v>4</v>
      </c>
      <c r="O477" s="4" cm="1">
        <f t="array" ref="O477">_xlfn.IFS(J477="Dell Inspiron 15",66989,J477="Lenovo IdeaPad Slim 3i",34690,J477="Mi NoteBook Ultra",57999,J477="Samsung Galaxy Go",36990,J477="Acer Aspire 3",38980)</f>
        <v>66989</v>
      </c>
      <c r="P477" t="s">
        <v>1029</v>
      </c>
    </row>
    <row r="478" spans="1:16" x14ac:dyDescent="0.25">
      <c r="A478">
        <v>22388</v>
      </c>
      <c r="B478" t="s">
        <v>155</v>
      </c>
      <c r="C478" t="s">
        <v>378</v>
      </c>
      <c r="D478" t="s">
        <v>1032</v>
      </c>
      <c r="E478" t="s">
        <v>1035</v>
      </c>
      <c r="F478" t="s">
        <v>1011</v>
      </c>
      <c r="G478" t="str">
        <f>UPPER(Table1[[#This Row],[State]])</f>
        <v>GUJARAT</v>
      </c>
      <c r="H478" t="s">
        <v>1016</v>
      </c>
      <c r="I478" t="s">
        <v>775</v>
      </c>
      <c r="J478" t="s">
        <v>1023</v>
      </c>
      <c r="K478">
        <v>4961</v>
      </c>
      <c r="L478" s="1">
        <v>43941</v>
      </c>
      <c r="M478" s="1">
        <v>43942</v>
      </c>
      <c r="N478">
        <v>5</v>
      </c>
      <c r="O478" s="4" cm="1">
        <f t="array" ref="O478">_xlfn.IFS(J478="Dell Inspiron 15",66989,J478="Lenovo IdeaPad Slim 3i",34690,J478="Mi NoteBook Ultra",57999,J478="Samsung Galaxy Go",36990,J478="Acer Aspire 3",38980)</f>
        <v>34690</v>
      </c>
      <c r="P478" t="s">
        <v>1029</v>
      </c>
    </row>
    <row r="479" spans="1:16" x14ac:dyDescent="0.25">
      <c r="A479">
        <v>24287</v>
      </c>
      <c r="B479" t="s">
        <v>79</v>
      </c>
      <c r="C479" t="s">
        <v>95</v>
      </c>
      <c r="D479" t="s">
        <v>1032</v>
      </c>
      <c r="E479" t="s">
        <v>1035</v>
      </c>
      <c r="F479" t="s">
        <v>1011</v>
      </c>
      <c r="G479" t="str">
        <f>UPPER(Table1[[#This Row],[State]])</f>
        <v>GUJARAT</v>
      </c>
      <c r="H479" t="s">
        <v>1016</v>
      </c>
      <c r="I479" t="s">
        <v>776</v>
      </c>
      <c r="J479" t="s">
        <v>1024</v>
      </c>
      <c r="K479">
        <v>4614</v>
      </c>
      <c r="L479" s="1">
        <v>43960</v>
      </c>
      <c r="M479" s="1">
        <v>43962</v>
      </c>
      <c r="N479">
        <v>2</v>
      </c>
      <c r="O479" s="4" cm="1">
        <f t="array" ref="O479">_xlfn.IFS(J479="Dell Inspiron 15",66989,J479="Lenovo IdeaPad Slim 3i",34690,J479="Mi NoteBook Ultra",57999,J479="Samsung Galaxy Go",36990,J479="Acer Aspire 3",38980)</f>
        <v>57999</v>
      </c>
      <c r="P479" t="s">
        <v>1029</v>
      </c>
    </row>
    <row r="480" spans="1:16" x14ac:dyDescent="0.25">
      <c r="A480">
        <v>16620</v>
      </c>
      <c r="B480" t="s">
        <v>65</v>
      </c>
      <c r="C480" t="s">
        <v>693</v>
      </c>
      <c r="D480" t="s">
        <v>1032</v>
      </c>
      <c r="E480" t="s">
        <v>1035</v>
      </c>
      <c r="F480" t="s">
        <v>1011</v>
      </c>
      <c r="G480" t="str">
        <f>UPPER(Table1[[#This Row],[State]])</f>
        <v>GUJARAT</v>
      </c>
      <c r="H480" t="s">
        <v>1016</v>
      </c>
      <c r="I480" t="s">
        <v>777</v>
      </c>
      <c r="J480" t="s">
        <v>1025</v>
      </c>
      <c r="K480">
        <v>5002</v>
      </c>
      <c r="L480" s="1">
        <v>43994</v>
      </c>
      <c r="M480" s="1">
        <v>43996</v>
      </c>
      <c r="N480">
        <v>9</v>
      </c>
      <c r="O480" s="4" cm="1">
        <f t="array" ref="O480">_xlfn.IFS(J480="Dell Inspiron 15",66989,J480="Lenovo IdeaPad Slim 3i",34690,J480="Mi NoteBook Ultra",57999,J480="Samsung Galaxy Go",36990,J480="Acer Aspire 3",38980)</f>
        <v>36990</v>
      </c>
      <c r="P480" t="s">
        <v>1029</v>
      </c>
    </row>
    <row r="481" spans="1:16" x14ac:dyDescent="0.25">
      <c r="A481">
        <v>16417</v>
      </c>
      <c r="B481" t="s">
        <v>260</v>
      </c>
      <c r="C481" t="s">
        <v>354</v>
      </c>
      <c r="D481" t="s">
        <v>1032</v>
      </c>
      <c r="E481" t="s">
        <v>1036</v>
      </c>
      <c r="F481" t="s">
        <v>1012</v>
      </c>
      <c r="G481" t="str">
        <f>UPPER(Table1[[#This Row],[State]])</f>
        <v>DELHI</v>
      </c>
      <c r="H481" t="s">
        <v>1017</v>
      </c>
      <c r="I481" t="s">
        <v>778</v>
      </c>
      <c r="J481" t="s">
        <v>1026</v>
      </c>
      <c r="K481">
        <v>4940</v>
      </c>
      <c r="L481" s="1">
        <v>43892</v>
      </c>
      <c r="M481" s="1">
        <v>43894</v>
      </c>
      <c r="N481">
        <v>2</v>
      </c>
      <c r="O481" s="4" cm="1">
        <f t="array" ref="O481">_xlfn.IFS(J481="Dell Inspiron 15",66989,J481="Lenovo IdeaPad Slim 3i",34690,J481="Mi NoteBook Ultra",57999,J481="Samsung Galaxy Go",36990,J481="Acer Aspire 3",38980)</f>
        <v>38980</v>
      </c>
      <c r="P481" t="s">
        <v>1029</v>
      </c>
    </row>
    <row r="482" spans="1:16" x14ac:dyDescent="0.25">
      <c r="A482">
        <v>18409</v>
      </c>
      <c r="B482" t="s">
        <v>122</v>
      </c>
      <c r="C482" t="s">
        <v>272</v>
      </c>
      <c r="D482" t="s">
        <v>1032</v>
      </c>
      <c r="E482" t="s">
        <v>1035</v>
      </c>
      <c r="F482" t="s">
        <v>1011</v>
      </c>
      <c r="G482" t="str">
        <f>UPPER(Table1[[#This Row],[State]])</f>
        <v>GUJARAT</v>
      </c>
      <c r="H482" t="s">
        <v>1016</v>
      </c>
      <c r="I482" t="s">
        <v>779</v>
      </c>
      <c r="J482" t="s">
        <v>1022</v>
      </c>
      <c r="K482">
        <v>5401</v>
      </c>
      <c r="L482" s="1">
        <v>43892</v>
      </c>
      <c r="M482" s="1">
        <v>43892</v>
      </c>
      <c r="N482">
        <v>10</v>
      </c>
      <c r="O482" s="4" cm="1">
        <f t="array" ref="O482">_xlfn.IFS(J482="Dell Inspiron 15",66989,J482="Lenovo IdeaPad Slim 3i",34690,J482="Mi NoteBook Ultra",57999,J482="Samsung Galaxy Go",36990,J482="Acer Aspire 3",38980)</f>
        <v>66989</v>
      </c>
      <c r="P482" t="s">
        <v>1029</v>
      </c>
    </row>
    <row r="483" spans="1:16" x14ac:dyDescent="0.25">
      <c r="A483">
        <v>25262</v>
      </c>
      <c r="B483" t="s">
        <v>621</v>
      </c>
      <c r="C483" t="s">
        <v>14</v>
      </c>
      <c r="D483" t="s">
        <v>1032</v>
      </c>
      <c r="E483" t="s">
        <v>1035</v>
      </c>
      <c r="F483" t="s">
        <v>1011</v>
      </c>
      <c r="G483" t="str">
        <f>UPPER(Table1[[#This Row],[State]])</f>
        <v>GUJARAT</v>
      </c>
      <c r="H483" t="s">
        <v>1016</v>
      </c>
      <c r="I483" t="s">
        <v>780</v>
      </c>
      <c r="J483" t="s">
        <v>1024</v>
      </c>
      <c r="K483">
        <v>4697</v>
      </c>
      <c r="L483" s="1">
        <v>43832</v>
      </c>
      <c r="M483" s="1">
        <v>43839</v>
      </c>
      <c r="N483">
        <v>3</v>
      </c>
      <c r="O483" s="4" cm="1">
        <f t="array" ref="O483">_xlfn.IFS(J483="Dell Inspiron 15",66989,J483="Lenovo IdeaPad Slim 3i",34690,J483="Mi NoteBook Ultra",57999,J483="Samsung Galaxy Go",36990,J483="Acer Aspire 3",38980)</f>
        <v>57999</v>
      </c>
      <c r="P483" t="s">
        <v>1029</v>
      </c>
    </row>
    <row r="484" spans="1:16" x14ac:dyDescent="0.25">
      <c r="A484">
        <v>16594</v>
      </c>
      <c r="B484" t="s">
        <v>333</v>
      </c>
      <c r="C484" t="s">
        <v>585</v>
      </c>
      <c r="D484" t="s">
        <v>1032</v>
      </c>
      <c r="E484" t="s">
        <v>1036</v>
      </c>
      <c r="F484" t="s">
        <v>1012</v>
      </c>
      <c r="G484" t="str">
        <f>UPPER(Table1[[#This Row],[State]])</f>
        <v>DELHI</v>
      </c>
      <c r="H484" t="s">
        <v>1017</v>
      </c>
      <c r="I484" t="s">
        <v>781</v>
      </c>
      <c r="J484" t="s">
        <v>1026</v>
      </c>
      <c r="K484">
        <v>4797</v>
      </c>
      <c r="L484" s="1">
        <v>43832</v>
      </c>
      <c r="M484" s="1">
        <v>43832</v>
      </c>
      <c r="N484">
        <v>3</v>
      </c>
      <c r="O484" s="4" cm="1">
        <f t="array" ref="O484">_xlfn.IFS(J484="Dell Inspiron 15",66989,J484="Lenovo IdeaPad Slim 3i",34690,J484="Mi NoteBook Ultra",57999,J484="Samsung Galaxy Go",36990,J484="Acer Aspire 3",38980)</f>
        <v>38980</v>
      </c>
      <c r="P484" t="s">
        <v>1029</v>
      </c>
    </row>
    <row r="485" spans="1:16" x14ac:dyDescent="0.25">
      <c r="A485">
        <v>12739</v>
      </c>
      <c r="B485" t="s">
        <v>453</v>
      </c>
      <c r="C485" t="s">
        <v>170</v>
      </c>
      <c r="D485" t="s">
        <v>1032</v>
      </c>
      <c r="E485" t="s">
        <v>1036</v>
      </c>
      <c r="F485" t="s">
        <v>1012</v>
      </c>
      <c r="G485" t="str">
        <f>UPPER(Table1[[#This Row],[State]])</f>
        <v>DELHI</v>
      </c>
      <c r="H485" t="s">
        <v>1017</v>
      </c>
      <c r="I485" t="s">
        <v>782</v>
      </c>
      <c r="J485" t="s">
        <v>1022</v>
      </c>
      <c r="K485">
        <v>5049</v>
      </c>
      <c r="L485" s="1">
        <v>43832</v>
      </c>
      <c r="M485" s="1">
        <v>43834</v>
      </c>
      <c r="N485">
        <v>6</v>
      </c>
      <c r="O485" s="4" cm="1">
        <f t="array" ref="O485">_xlfn.IFS(J485="Dell Inspiron 15",66989,J485="Lenovo IdeaPad Slim 3i",34690,J485="Mi NoteBook Ultra",57999,J485="Samsung Galaxy Go",36990,J485="Acer Aspire 3",38980)</f>
        <v>66989</v>
      </c>
      <c r="P485" t="s">
        <v>1029</v>
      </c>
    </row>
    <row r="486" spans="1:16" x14ac:dyDescent="0.25">
      <c r="A486">
        <v>23291</v>
      </c>
      <c r="B486" t="s">
        <v>226</v>
      </c>
      <c r="C486" t="s">
        <v>38</v>
      </c>
      <c r="D486" t="s">
        <v>1032</v>
      </c>
      <c r="E486" t="s">
        <v>1033</v>
      </c>
      <c r="F486" t="s">
        <v>1009</v>
      </c>
      <c r="G486" t="str">
        <f>UPPER(Table1[[#This Row],[State]])</f>
        <v>BIHAR</v>
      </c>
      <c r="H486" t="s">
        <v>1014</v>
      </c>
      <c r="I486" t="s">
        <v>783</v>
      </c>
      <c r="J486" t="s">
        <v>1023</v>
      </c>
      <c r="K486">
        <v>5285</v>
      </c>
      <c r="L486" s="1">
        <v>43832</v>
      </c>
      <c r="M486" s="1">
        <v>43839</v>
      </c>
      <c r="N486">
        <v>10</v>
      </c>
      <c r="O486" s="4" cm="1">
        <f t="array" ref="O486">_xlfn.IFS(J486="Dell Inspiron 15",66989,J486="Lenovo IdeaPad Slim 3i",34690,J486="Mi NoteBook Ultra",57999,J486="Samsung Galaxy Go",36990,J486="Acer Aspire 3",38980)</f>
        <v>34690</v>
      </c>
      <c r="P486" t="s">
        <v>1029</v>
      </c>
    </row>
    <row r="487" spans="1:16" x14ac:dyDescent="0.25">
      <c r="A487">
        <v>24653</v>
      </c>
      <c r="B487" t="s">
        <v>576</v>
      </c>
      <c r="C487" t="s">
        <v>136</v>
      </c>
      <c r="D487" t="s">
        <v>1032</v>
      </c>
      <c r="E487" t="s">
        <v>1034</v>
      </c>
      <c r="F487" t="s">
        <v>1010</v>
      </c>
      <c r="G487" t="str">
        <f>UPPER(Table1[[#This Row],[State]])</f>
        <v>PUDUCHERRY</v>
      </c>
      <c r="H487" t="s">
        <v>1015</v>
      </c>
      <c r="I487" t="s">
        <v>784</v>
      </c>
      <c r="J487" t="s">
        <v>1025</v>
      </c>
      <c r="K487">
        <v>5079</v>
      </c>
      <c r="L487" s="1">
        <v>43863</v>
      </c>
      <c r="M487" s="1">
        <v>43865</v>
      </c>
      <c r="N487">
        <v>8</v>
      </c>
      <c r="O487" s="4" cm="1">
        <f t="array" ref="O487">_xlfn.IFS(J487="Dell Inspiron 15",66989,J487="Lenovo IdeaPad Slim 3i",34690,J487="Mi NoteBook Ultra",57999,J487="Samsung Galaxy Go",36990,J487="Acer Aspire 3",38980)</f>
        <v>36990</v>
      </c>
      <c r="P487" t="s">
        <v>1029</v>
      </c>
    </row>
    <row r="488" spans="1:16" x14ac:dyDescent="0.25">
      <c r="A488">
        <v>17921</v>
      </c>
      <c r="B488" t="s">
        <v>372</v>
      </c>
      <c r="C488" t="s">
        <v>167</v>
      </c>
      <c r="D488" t="s">
        <v>1032</v>
      </c>
      <c r="E488" t="s">
        <v>1033</v>
      </c>
      <c r="F488" t="s">
        <v>1009</v>
      </c>
      <c r="G488" t="str">
        <f>UPPER(Table1[[#This Row],[State]])</f>
        <v>BIHAR</v>
      </c>
      <c r="H488" t="s">
        <v>1014</v>
      </c>
      <c r="I488" t="s">
        <v>785</v>
      </c>
      <c r="J488" t="s">
        <v>1022</v>
      </c>
      <c r="K488">
        <v>5055</v>
      </c>
      <c r="L488" s="1">
        <v>43863</v>
      </c>
      <c r="M488" s="1">
        <v>43865</v>
      </c>
      <c r="N488">
        <v>5</v>
      </c>
      <c r="O488" s="4" cm="1">
        <f t="array" ref="O488">_xlfn.IFS(J488="Dell Inspiron 15",66989,J488="Lenovo IdeaPad Slim 3i",34690,J488="Mi NoteBook Ultra",57999,J488="Samsung Galaxy Go",36990,J488="Acer Aspire 3",38980)</f>
        <v>66989</v>
      </c>
      <c r="P488" t="s">
        <v>1029</v>
      </c>
    </row>
    <row r="489" spans="1:16" x14ac:dyDescent="0.25">
      <c r="A489">
        <v>21448</v>
      </c>
      <c r="B489" t="s">
        <v>245</v>
      </c>
      <c r="C489" t="s">
        <v>123</v>
      </c>
      <c r="D489" t="s">
        <v>1032</v>
      </c>
      <c r="E489" t="s">
        <v>1035</v>
      </c>
      <c r="F489" t="s">
        <v>1011</v>
      </c>
      <c r="G489" t="str">
        <f>UPPER(Table1[[#This Row],[State]])</f>
        <v>GUJARAT</v>
      </c>
      <c r="H489" t="s">
        <v>1016</v>
      </c>
      <c r="I489" t="s">
        <v>786</v>
      </c>
      <c r="J489" t="s">
        <v>1026</v>
      </c>
      <c r="K489">
        <v>5408</v>
      </c>
      <c r="L489" s="1">
        <v>43905</v>
      </c>
      <c r="M489" s="1">
        <v>43905</v>
      </c>
      <c r="N489">
        <v>7</v>
      </c>
      <c r="O489" s="4" cm="1">
        <f t="array" ref="O489">_xlfn.IFS(J489="Dell Inspiron 15",66989,J489="Lenovo IdeaPad Slim 3i",34690,J489="Mi NoteBook Ultra",57999,J489="Samsung Galaxy Go",36990,J489="Acer Aspire 3",38980)</f>
        <v>38980</v>
      </c>
      <c r="P489" t="s">
        <v>1029</v>
      </c>
    </row>
    <row r="490" spans="1:16" x14ac:dyDescent="0.25">
      <c r="A490">
        <v>25059</v>
      </c>
      <c r="B490" t="s">
        <v>282</v>
      </c>
      <c r="C490" t="s">
        <v>90</v>
      </c>
      <c r="D490" t="s">
        <v>1032</v>
      </c>
      <c r="E490" t="s">
        <v>1035</v>
      </c>
      <c r="F490" t="s">
        <v>1011</v>
      </c>
      <c r="G490" t="str">
        <f>UPPER(Table1[[#This Row],[State]])</f>
        <v>GUJARAT</v>
      </c>
      <c r="H490" t="s">
        <v>1016</v>
      </c>
      <c r="I490" t="s">
        <v>787</v>
      </c>
      <c r="J490" t="s">
        <v>1024</v>
      </c>
      <c r="K490">
        <v>5281</v>
      </c>
      <c r="L490" s="1">
        <v>43863</v>
      </c>
      <c r="M490" s="1">
        <v>43864</v>
      </c>
      <c r="N490">
        <v>9</v>
      </c>
      <c r="O490" s="4" cm="1">
        <f t="array" ref="O490">_xlfn.IFS(J490="Dell Inspiron 15",66989,J490="Lenovo IdeaPad Slim 3i",34690,J490="Mi NoteBook Ultra",57999,J490="Samsung Galaxy Go",36990,J490="Acer Aspire 3",38980)</f>
        <v>57999</v>
      </c>
      <c r="P490" t="s">
        <v>1029</v>
      </c>
    </row>
    <row r="491" spans="1:16" x14ac:dyDescent="0.25">
      <c r="A491">
        <v>22391</v>
      </c>
      <c r="B491" t="s">
        <v>760</v>
      </c>
      <c r="C491" t="s">
        <v>87</v>
      </c>
      <c r="D491" t="s">
        <v>1032</v>
      </c>
      <c r="E491" t="s">
        <v>1036</v>
      </c>
      <c r="F491" t="s">
        <v>1012</v>
      </c>
      <c r="G491" t="str">
        <f>UPPER(Table1[[#This Row],[State]])</f>
        <v>DELHI</v>
      </c>
      <c r="H491" t="s">
        <v>1017</v>
      </c>
      <c r="I491" t="s">
        <v>788</v>
      </c>
      <c r="J491" t="s">
        <v>1025</v>
      </c>
      <c r="K491">
        <v>4589</v>
      </c>
      <c r="L491" s="1">
        <v>43920</v>
      </c>
      <c r="M491" s="1">
        <v>43923</v>
      </c>
      <c r="N491">
        <v>9</v>
      </c>
      <c r="O491" s="4" cm="1">
        <f t="array" ref="O491">_xlfn.IFS(J491="Dell Inspiron 15",66989,J491="Lenovo IdeaPad Slim 3i",34690,J491="Mi NoteBook Ultra",57999,J491="Samsung Galaxy Go",36990,J491="Acer Aspire 3",38980)</f>
        <v>36990</v>
      </c>
      <c r="P491" t="s">
        <v>1029</v>
      </c>
    </row>
    <row r="492" spans="1:16" x14ac:dyDescent="0.25">
      <c r="A492">
        <v>16185</v>
      </c>
      <c r="B492" t="s">
        <v>229</v>
      </c>
      <c r="C492" t="s">
        <v>110</v>
      </c>
      <c r="D492" t="s">
        <v>1032</v>
      </c>
      <c r="E492" t="s">
        <v>1033</v>
      </c>
      <c r="F492" t="s">
        <v>1009</v>
      </c>
      <c r="G492" t="str">
        <f>UPPER(Table1[[#This Row],[State]])</f>
        <v>BIHAR</v>
      </c>
      <c r="H492" t="s">
        <v>1014</v>
      </c>
      <c r="I492" t="s">
        <v>789</v>
      </c>
      <c r="J492" t="s">
        <v>1026</v>
      </c>
      <c r="K492">
        <v>5444</v>
      </c>
      <c r="L492" s="1">
        <v>43985</v>
      </c>
      <c r="M492" s="1">
        <v>43990</v>
      </c>
      <c r="N492">
        <v>4</v>
      </c>
      <c r="O492" s="4" cm="1">
        <f t="array" ref="O492">_xlfn.IFS(J492="Dell Inspiron 15",66989,J492="Lenovo IdeaPad Slim 3i",34690,J492="Mi NoteBook Ultra",57999,J492="Samsung Galaxy Go",36990,J492="Acer Aspire 3",38980)</f>
        <v>38980</v>
      </c>
      <c r="P492" t="s">
        <v>1029</v>
      </c>
    </row>
    <row r="493" spans="1:16" x14ac:dyDescent="0.25">
      <c r="A493">
        <v>14415</v>
      </c>
      <c r="B493" t="s">
        <v>453</v>
      </c>
      <c r="C493" t="s">
        <v>649</v>
      </c>
      <c r="D493" t="s">
        <v>1032</v>
      </c>
      <c r="E493" t="s">
        <v>1034</v>
      </c>
      <c r="F493" t="s">
        <v>1010</v>
      </c>
      <c r="G493" t="str">
        <f>UPPER(Table1[[#This Row],[State]])</f>
        <v>PUDUCHERRY</v>
      </c>
      <c r="H493" t="s">
        <v>1015</v>
      </c>
      <c r="I493" t="s">
        <v>790</v>
      </c>
      <c r="J493" t="s">
        <v>1022</v>
      </c>
      <c r="K493">
        <v>4963</v>
      </c>
      <c r="L493" s="1">
        <v>43912</v>
      </c>
      <c r="M493" s="1">
        <v>43913</v>
      </c>
      <c r="N493">
        <v>7</v>
      </c>
      <c r="O493" s="4" cm="1">
        <f t="array" ref="O493">_xlfn.IFS(J493="Dell Inspiron 15",66989,J493="Lenovo IdeaPad Slim 3i",34690,J493="Mi NoteBook Ultra",57999,J493="Samsung Galaxy Go",36990,J493="Acer Aspire 3",38980)</f>
        <v>66989</v>
      </c>
      <c r="P493" t="s">
        <v>1029</v>
      </c>
    </row>
    <row r="494" spans="1:16" x14ac:dyDescent="0.25">
      <c r="A494">
        <v>24735</v>
      </c>
      <c r="B494" t="s">
        <v>274</v>
      </c>
      <c r="C494" t="s">
        <v>191</v>
      </c>
      <c r="D494" t="s">
        <v>1032</v>
      </c>
      <c r="E494" t="s">
        <v>1033</v>
      </c>
      <c r="F494" t="s">
        <v>1009</v>
      </c>
      <c r="G494" t="str">
        <f>UPPER(Table1[[#This Row],[State]])</f>
        <v>BIHAR</v>
      </c>
      <c r="H494" t="s">
        <v>1014</v>
      </c>
      <c r="I494" t="s">
        <v>791</v>
      </c>
      <c r="J494" t="s">
        <v>1024</v>
      </c>
      <c r="K494">
        <v>4642</v>
      </c>
      <c r="L494" s="1">
        <v>43912</v>
      </c>
      <c r="M494" s="1">
        <v>43915</v>
      </c>
      <c r="N494">
        <v>2</v>
      </c>
      <c r="O494" s="4" cm="1">
        <f t="array" ref="O494">_xlfn.IFS(J494="Dell Inspiron 15",66989,J494="Lenovo IdeaPad Slim 3i",34690,J494="Mi NoteBook Ultra",57999,J494="Samsung Galaxy Go",36990,J494="Acer Aspire 3",38980)</f>
        <v>57999</v>
      </c>
      <c r="P494" t="s">
        <v>1029</v>
      </c>
    </row>
    <row r="495" spans="1:16" x14ac:dyDescent="0.25">
      <c r="A495">
        <v>17783</v>
      </c>
      <c r="B495" t="s">
        <v>25</v>
      </c>
      <c r="C495" t="s">
        <v>116</v>
      </c>
      <c r="D495" t="s">
        <v>1032</v>
      </c>
      <c r="E495" t="s">
        <v>1035</v>
      </c>
      <c r="F495" t="s">
        <v>1011</v>
      </c>
      <c r="G495" t="str">
        <f>UPPER(Table1[[#This Row],[State]])</f>
        <v>GUJARAT</v>
      </c>
      <c r="H495" t="s">
        <v>1016</v>
      </c>
      <c r="I495" t="s">
        <v>792</v>
      </c>
      <c r="J495" t="s">
        <v>1026</v>
      </c>
      <c r="K495">
        <v>5096</v>
      </c>
      <c r="L495" s="1">
        <v>43968</v>
      </c>
      <c r="M495" s="1">
        <v>43969</v>
      </c>
      <c r="N495">
        <v>6</v>
      </c>
      <c r="O495" s="4" cm="1">
        <f t="array" ref="O495">_xlfn.IFS(J495="Dell Inspiron 15",66989,J495="Lenovo IdeaPad Slim 3i",34690,J495="Mi NoteBook Ultra",57999,J495="Samsung Galaxy Go",36990,J495="Acer Aspire 3",38980)</f>
        <v>38980</v>
      </c>
      <c r="P495" t="s">
        <v>1029</v>
      </c>
    </row>
    <row r="496" spans="1:16" x14ac:dyDescent="0.25">
      <c r="A496">
        <v>24194</v>
      </c>
      <c r="B496" t="s">
        <v>239</v>
      </c>
      <c r="C496" t="s">
        <v>277</v>
      </c>
      <c r="D496" t="s">
        <v>1032</v>
      </c>
      <c r="E496" t="s">
        <v>1035</v>
      </c>
      <c r="F496" t="s">
        <v>1011</v>
      </c>
      <c r="G496" t="str">
        <f>UPPER(Table1[[#This Row],[State]])</f>
        <v>GUJARAT</v>
      </c>
      <c r="H496" t="s">
        <v>1016</v>
      </c>
      <c r="I496" t="s">
        <v>793</v>
      </c>
      <c r="J496" t="s">
        <v>1022</v>
      </c>
      <c r="K496">
        <v>5009</v>
      </c>
      <c r="L496" s="1">
        <v>43879</v>
      </c>
      <c r="M496" s="1">
        <v>43881</v>
      </c>
      <c r="N496">
        <v>9</v>
      </c>
      <c r="O496" s="4" cm="1">
        <f t="array" ref="O496">_xlfn.IFS(J496="Dell Inspiron 15",66989,J496="Lenovo IdeaPad Slim 3i",34690,J496="Mi NoteBook Ultra",57999,J496="Samsung Galaxy Go",36990,J496="Acer Aspire 3",38980)</f>
        <v>66989</v>
      </c>
      <c r="P496" t="s">
        <v>1029</v>
      </c>
    </row>
    <row r="497" spans="1:16" x14ac:dyDescent="0.25">
      <c r="A497">
        <v>13714</v>
      </c>
      <c r="B497" t="s">
        <v>730</v>
      </c>
      <c r="C497" t="s">
        <v>3</v>
      </c>
      <c r="D497" t="s">
        <v>1032</v>
      </c>
      <c r="E497" t="s">
        <v>1036</v>
      </c>
      <c r="F497" t="s">
        <v>1012</v>
      </c>
      <c r="G497" t="str">
        <f>UPPER(Table1[[#This Row],[State]])</f>
        <v>DELHI</v>
      </c>
      <c r="H497" t="s">
        <v>1017</v>
      </c>
      <c r="I497" t="s">
        <v>794</v>
      </c>
      <c r="J497" t="s">
        <v>1023</v>
      </c>
      <c r="K497">
        <v>5315</v>
      </c>
      <c r="L497" s="1">
        <v>43894</v>
      </c>
      <c r="M497" s="1">
        <v>43896</v>
      </c>
      <c r="N497">
        <v>5</v>
      </c>
      <c r="O497" s="4" cm="1">
        <f t="array" ref="O497">_xlfn.IFS(J497="Dell Inspiron 15",66989,J497="Lenovo IdeaPad Slim 3i",34690,J497="Mi NoteBook Ultra",57999,J497="Samsung Galaxy Go",36990,J497="Acer Aspire 3",38980)</f>
        <v>34690</v>
      </c>
      <c r="P497" t="s">
        <v>1029</v>
      </c>
    </row>
    <row r="498" spans="1:16" x14ac:dyDescent="0.25">
      <c r="A498">
        <v>13372</v>
      </c>
      <c r="B498" t="s">
        <v>712</v>
      </c>
      <c r="C498" t="s">
        <v>623</v>
      </c>
      <c r="D498" t="s">
        <v>1032</v>
      </c>
      <c r="E498" t="s">
        <v>1033</v>
      </c>
      <c r="F498" t="s">
        <v>1009</v>
      </c>
      <c r="G498" t="str">
        <f>UPPER(Table1[[#This Row],[State]])</f>
        <v>BIHAR</v>
      </c>
      <c r="H498" t="s">
        <v>1014</v>
      </c>
      <c r="I498" t="s">
        <v>795</v>
      </c>
      <c r="J498" t="s">
        <v>1022</v>
      </c>
      <c r="K498">
        <v>5206</v>
      </c>
      <c r="L498" s="1">
        <v>43968</v>
      </c>
      <c r="M498" s="1">
        <v>43970</v>
      </c>
      <c r="N498">
        <v>10</v>
      </c>
      <c r="O498" s="4" cm="1">
        <f t="array" ref="O498">_xlfn.IFS(J498="Dell Inspiron 15",66989,J498="Lenovo IdeaPad Slim 3i",34690,J498="Mi NoteBook Ultra",57999,J498="Samsung Galaxy Go",36990,J498="Acer Aspire 3",38980)</f>
        <v>66989</v>
      </c>
      <c r="P498" t="s">
        <v>1029</v>
      </c>
    </row>
    <row r="499" spans="1:16" x14ac:dyDescent="0.25">
      <c r="A499">
        <v>22885</v>
      </c>
      <c r="B499" t="s">
        <v>673</v>
      </c>
      <c r="C499" t="s">
        <v>80</v>
      </c>
      <c r="D499" t="s">
        <v>1032</v>
      </c>
      <c r="E499" t="s">
        <v>1036</v>
      </c>
      <c r="F499" t="s">
        <v>1012</v>
      </c>
      <c r="G499" t="str">
        <f>UPPER(Table1[[#This Row],[State]])</f>
        <v>DELHI</v>
      </c>
      <c r="H499" t="s">
        <v>1017</v>
      </c>
      <c r="I499" t="s">
        <v>796</v>
      </c>
      <c r="J499" t="s">
        <v>1023</v>
      </c>
      <c r="K499">
        <v>5452</v>
      </c>
      <c r="L499" s="1">
        <v>43968</v>
      </c>
      <c r="M499" s="1">
        <v>43969</v>
      </c>
      <c r="N499">
        <v>7</v>
      </c>
      <c r="O499" s="4" cm="1">
        <f t="array" ref="O499">_xlfn.IFS(J499="Dell Inspiron 15",66989,J499="Lenovo IdeaPad Slim 3i",34690,J499="Mi NoteBook Ultra",57999,J499="Samsung Galaxy Go",36990,J499="Acer Aspire 3",38980)</f>
        <v>34690</v>
      </c>
      <c r="P499" t="s">
        <v>1029</v>
      </c>
    </row>
    <row r="500" spans="1:16" x14ac:dyDescent="0.25">
      <c r="A500">
        <v>20216</v>
      </c>
      <c r="B500" t="s">
        <v>459</v>
      </c>
      <c r="C500" t="s">
        <v>23</v>
      </c>
      <c r="D500" t="s">
        <v>1032</v>
      </c>
      <c r="E500" t="s">
        <v>1033</v>
      </c>
      <c r="F500" t="s">
        <v>1009</v>
      </c>
      <c r="G500" t="str">
        <f>UPPER(Table1[[#This Row],[State]])</f>
        <v>BIHAR</v>
      </c>
      <c r="H500" t="s">
        <v>1014</v>
      </c>
      <c r="I500" t="s">
        <v>797</v>
      </c>
      <c r="J500" t="s">
        <v>1024</v>
      </c>
      <c r="K500">
        <v>5175</v>
      </c>
      <c r="L500" s="1">
        <v>43989</v>
      </c>
      <c r="M500" s="1">
        <v>43991</v>
      </c>
      <c r="N500">
        <v>6</v>
      </c>
      <c r="O500" s="4" cm="1">
        <f t="array" ref="O500">_xlfn.IFS(J500="Dell Inspiron 15",66989,J500="Lenovo IdeaPad Slim 3i",34690,J500="Mi NoteBook Ultra",57999,J500="Samsung Galaxy Go",36990,J500="Acer Aspire 3",38980)</f>
        <v>57999</v>
      </c>
      <c r="P500" t="s">
        <v>1029</v>
      </c>
    </row>
    <row r="501" spans="1:16" x14ac:dyDescent="0.25">
      <c r="A501">
        <v>21869</v>
      </c>
      <c r="B501" t="s">
        <v>481</v>
      </c>
      <c r="C501" t="s">
        <v>207</v>
      </c>
      <c r="D501" t="s">
        <v>1032</v>
      </c>
      <c r="E501" t="s">
        <v>1034</v>
      </c>
      <c r="F501" t="s">
        <v>1010</v>
      </c>
      <c r="G501" t="str">
        <f>UPPER(Table1[[#This Row],[State]])</f>
        <v>PUDUCHERRY</v>
      </c>
      <c r="H501" t="s">
        <v>1015</v>
      </c>
      <c r="I501" t="s">
        <v>798</v>
      </c>
      <c r="J501" t="s">
        <v>1025</v>
      </c>
      <c r="K501">
        <v>5214</v>
      </c>
      <c r="L501" s="1">
        <v>43954</v>
      </c>
      <c r="M501" s="1">
        <v>43956</v>
      </c>
      <c r="N501">
        <v>1</v>
      </c>
      <c r="O501" s="4" cm="1">
        <f t="array" ref="O501">_xlfn.IFS(J501="Dell Inspiron 15",66989,J501="Lenovo IdeaPad Slim 3i",34690,J501="Mi NoteBook Ultra",57999,J501="Samsung Galaxy Go",36990,J501="Acer Aspire 3",38980)</f>
        <v>36990</v>
      </c>
      <c r="P501" t="s">
        <v>1029</v>
      </c>
    </row>
    <row r="502" spans="1:16" x14ac:dyDescent="0.25">
      <c r="A502">
        <v>13383</v>
      </c>
      <c r="B502" t="s">
        <v>120</v>
      </c>
      <c r="C502" t="s">
        <v>293</v>
      </c>
      <c r="D502" t="s">
        <v>1032</v>
      </c>
      <c r="E502" t="s">
        <v>1033</v>
      </c>
      <c r="F502" t="s">
        <v>1009</v>
      </c>
      <c r="G502" t="str">
        <f>UPPER(Table1[[#This Row],[State]])</f>
        <v>BIHAR</v>
      </c>
      <c r="H502" t="s">
        <v>1014</v>
      </c>
      <c r="I502" t="s">
        <v>799</v>
      </c>
      <c r="J502" t="s">
        <v>1026</v>
      </c>
      <c r="K502">
        <v>4737</v>
      </c>
      <c r="L502" s="1">
        <v>43954</v>
      </c>
      <c r="M502" s="1">
        <v>43956</v>
      </c>
      <c r="N502">
        <v>2</v>
      </c>
      <c r="O502" s="4" cm="1">
        <f t="array" ref="O502">_xlfn.IFS(J502="Dell Inspiron 15",66989,J502="Lenovo IdeaPad Slim 3i",34690,J502="Mi NoteBook Ultra",57999,J502="Samsung Galaxy Go",36990,J502="Acer Aspire 3",38980)</f>
        <v>38980</v>
      </c>
      <c r="P502" t="s">
        <v>1029</v>
      </c>
    </row>
    <row r="503" spans="1:16" x14ac:dyDescent="0.25">
      <c r="A503">
        <v>16271</v>
      </c>
      <c r="B503" t="s">
        <v>115</v>
      </c>
      <c r="C503" t="s">
        <v>693</v>
      </c>
      <c r="D503" t="s">
        <v>1032</v>
      </c>
      <c r="E503" t="s">
        <v>1035</v>
      </c>
      <c r="F503" t="s">
        <v>1011</v>
      </c>
      <c r="G503" t="str">
        <f>UPPER(Table1[[#This Row],[State]])</f>
        <v>GUJARAT</v>
      </c>
      <c r="H503" t="s">
        <v>1016</v>
      </c>
      <c r="I503" t="s">
        <v>800</v>
      </c>
      <c r="J503" t="s">
        <v>1022</v>
      </c>
      <c r="K503">
        <v>5479</v>
      </c>
      <c r="L503" s="1">
        <v>43954</v>
      </c>
      <c r="M503" s="1">
        <v>43956</v>
      </c>
      <c r="N503">
        <v>1</v>
      </c>
      <c r="O503" s="4" cm="1">
        <f t="array" ref="O503">_xlfn.IFS(J503="Dell Inspiron 15",66989,J503="Lenovo IdeaPad Slim 3i",34690,J503="Mi NoteBook Ultra",57999,J503="Samsung Galaxy Go",36990,J503="Acer Aspire 3",38980)</f>
        <v>66989</v>
      </c>
      <c r="P503" t="s">
        <v>1029</v>
      </c>
    </row>
    <row r="504" spans="1:16" x14ac:dyDescent="0.25">
      <c r="A504">
        <v>24890</v>
      </c>
      <c r="B504" t="s">
        <v>404</v>
      </c>
      <c r="C504" t="s">
        <v>296</v>
      </c>
      <c r="D504" t="s">
        <v>1032</v>
      </c>
      <c r="E504" t="s">
        <v>1033</v>
      </c>
      <c r="F504" t="s">
        <v>1009</v>
      </c>
      <c r="G504" t="str">
        <f>UPPER(Table1[[#This Row],[State]])</f>
        <v>BIHAR</v>
      </c>
      <c r="H504" t="s">
        <v>1014</v>
      </c>
      <c r="I504" t="s">
        <v>801</v>
      </c>
      <c r="J504" t="s">
        <v>1024</v>
      </c>
      <c r="K504">
        <v>4867</v>
      </c>
      <c r="L504" s="1">
        <v>43954</v>
      </c>
      <c r="M504" s="1">
        <v>43955</v>
      </c>
      <c r="N504">
        <v>5</v>
      </c>
      <c r="O504" s="4" cm="1">
        <f t="array" ref="O504">_xlfn.IFS(J504="Dell Inspiron 15",66989,J504="Lenovo IdeaPad Slim 3i",34690,J504="Mi NoteBook Ultra",57999,J504="Samsung Galaxy Go",36990,J504="Acer Aspire 3",38980)</f>
        <v>57999</v>
      </c>
      <c r="P504" t="s">
        <v>1029</v>
      </c>
    </row>
    <row r="505" spans="1:16" x14ac:dyDescent="0.25">
      <c r="A505">
        <v>21597</v>
      </c>
      <c r="B505" t="s">
        <v>568</v>
      </c>
      <c r="C505" t="s">
        <v>35</v>
      </c>
      <c r="D505" t="s">
        <v>1032</v>
      </c>
      <c r="E505" t="s">
        <v>1034</v>
      </c>
      <c r="F505" t="s">
        <v>1010</v>
      </c>
      <c r="G505" t="str">
        <f>UPPER(Table1[[#This Row],[State]])</f>
        <v>PUDUCHERRY</v>
      </c>
      <c r="H505" t="s">
        <v>1015</v>
      </c>
      <c r="I505" t="s">
        <v>802</v>
      </c>
      <c r="J505" t="s">
        <v>1026</v>
      </c>
      <c r="K505">
        <v>5068</v>
      </c>
      <c r="L505" s="1">
        <v>44004</v>
      </c>
      <c r="M505" s="1">
        <v>44006</v>
      </c>
      <c r="N505">
        <v>6</v>
      </c>
      <c r="O505" s="4" cm="1">
        <f t="array" ref="O505">_xlfn.IFS(J505="Dell Inspiron 15",66989,J505="Lenovo IdeaPad Slim 3i",34690,J505="Mi NoteBook Ultra",57999,J505="Samsung Galaxy Go",36990,J505="Acer Aspire 3",38980)</f>
        <v>38980</v>
      </c>
      <c r="P505" t="s">
        <v>1029</v>
      </c>
    </row>
    <row r="506" spans="1:16" x14ac:dyDescent="0.25">
      <c r="A506">
        <v>23397</v>
      </c>
      <c r="B506" t="s">
        <v>6</v>
      </c>
      <c r="C506" t="s">
        <v>384</v>
      </c>
      <c r="D506" t="s">
        <v>1032</v>
      </c>
      <c r="E506" t="s">
        <v>1033</v>
      </c>
      <c r="F506" t="s">
        <v>1009</v>
      </c>
      <c r="G506" t="str">
        <f>UPPER(Table1[[#This Row],[State]])</f>
        <v>BIHAR</v>
      </c>
      <c r="H506" t="s">
        <v>1014</v>
      </c>
      <c r="I506" t="s">
        <v>803</v>
      </c>
      <c r="J506" t="s">
        <v>1022</v>
      </c>
      <c r="K506">
        <v>5256</v>
      </c>
      <c r="L506" s="1">
        <v>43927</v>
      </c>
      <c r="M506" s="1">
        <v>43928</v>
      </c>
      <c r="N506">
        <v>2</v>
      </c>
      <c r="O506" s="4" cm="1">
        <f t="array" ref="O506">_xlfn.IFS(J506="Dell Inspiron 15",66989,J506="Lenovo IdeaPad Slim 3i",34690,J506="Mi NoteBook Ultra",57999,J506="Samsung Galaxy Go",36990,J506="Acer Aspire 3",38980)</f>
        <v>66989</v>
      </c>
      <c r="P506" t="s">
        <v>1029</v>
      </c>
    </row>
    <row r="507" spans="1:16" x14ac:dyDescent="0.25">
      <c r="A507">
        <v>19335</v>
      </c>
      <c r="B507" t="s">
        <v>386</v>
      </c>
      <c r="C507" t="s">
        <v>378</v>
      </c>
      <c r="D507" t="s">
        <v>1032</v>
      </c>
      <c r="E507" t="s">
        <v>1035</v>
      </c>
      <c r="F507" t="s">
        <v>1011</v>
      </c>
      <c r="G507" t="str">
        <f>UPPER(Table1[[#This Row],[State]])</f>
        <v>GUJARAT</v>
      </c>
      <c r="H507" t="s">
        <v>1016</v>
      </c>
      <c r="I507" t="s">
        <v>804</v>
      </c>
      <c r="J507" t="s">
        <v>1023</v>
      </c>
      <c r="K507">
        <v>5125</v>
      </c>
      <c r="L507" s="1">
        <v>44004</v>
      </c>
      <c r="M507" s="1">
        <v>44006</v>
      </c>
      <c r="N507">
        <v>8</v>
      </c>
      <c r="O507" s="4" cm="1">
        <f t="array" ref="O507">_xlfn.IFS(J507="Dell Inspiron 15",66989,J507="Lenovo IdeaPad Slim 3i",34690,J507="Mi NoteBook Ultra",57999,J507="Samsung Galaxy Go",36990,J507="Acer Aspire 3",38980)</f>
        <v>34690</v>
      </c>
      <c r="P507" t="s">
        <v>1029</v>
      </c>
    </row>
    <row r="508" spans="1:16" x14ac:dyDescent="0.25">
      <c r="A508">
        <v>20975</v>
      </c>
      <c r="B508" t="s">
        <v>412</v>
      </c>
      <c r="C508" t="s">
        <v>142</v>
      </c>
      <c r="D508" t="s">
        <v>1032</v>
      </c>
      <c r="E508" t="s">
        <v>1035</v>
      </c>
      <c r="F508" t="s">
        <v>1011</v>
      </c>
      <c r="G508" t="str">
        <f>UPPER(Table1[[#This Row],[State]])</f>
        <v>GUJARAT</v>
      </c>
      <c r="H508" t="s">
        <v>1016</v>
      </c>
      <c r="I508" t="s">
        <v>805</v>
      </c>
      <c r="J508" t="s">
        <v>1025</v>
      </c>
      <c r="K508">
        <v>5338</v>
      </c>
      <c r="L508" s="1">
        <v>44004</v>
      </c>
      <c r="M508" s="1">
        <v>44005</v>
      </c>
      <c r="N508">
        <v>10</v>
      </c>
      <c r="O508" s="4" cm="1">
        <f t="array" ref="O508">_xlfn.IFS(J508="Dell Inspiron 15",66989,J508="Lenovo IdeaPad Slim 3i",34690,J508="Mi NoteBook Ultra",57999,J508="Samsung Galaxy Go",36990,J508="Acer Aspire 3",38980)</f>
        <v>36990</v>
      </c>
      <c r="P508" t="s">
        <v>1029</v>
      </c>
    </row>
    <row r="509" spans="1:16" x14ac:dyDescent="0.25">
      <c r="A509">
        <v>16939</v>
      </c>
      <c r="B509" t="s">
        <v>145</v>
      </c>
      <c r="C509" t="s">
        <v>365</v>
      </c>
      <c r="D509" t="s">
        <v>1032</v>
      </c>
      <c r="E509" t="s">
        <v>1035</v>
      </c>
      <c r="F509" t="s">
        <v>1011</v>
      </c>
      <c r="G509" t="str">
        <f>UPPER(Table1[[#This Row],[State]])</f>
        <v>GUJARAT</v>
      </c>
      <c r="H509" t="s">
        <v>1016</v>
      </c>
      <c r="I509" t="s">
        <v>806</v>
      </c>
      <c r="J509" t="s">
        <v>1022</v>
      </c>
      <c r="K509">
        <v>5040</v>
      </c>
      <c r="L509" s="1">
        <v>43927</v>
      </c>
      <c r="M509" s="1">
        <v>43928</v>
      </c>
      <c r="N509">
        <v>2</v>
      </c>
      <c r="O509" s="4" cm="1">
        <f t="array" ref="O509">_xlfn.IFS(J509="Dell Inspiron 15",66989,J509="Lenovo IdeaPad Slim 3i",34690,J509="Mi NoteBook Ultra",57999,J509="Samsung Galaxy Go",36990,J509="Acer Aspire 3",38980)</f>
        <v>66989</v>
      </c>
      <c r="P509" t="s">
        <v>1029</v>
      </c>
    </row>
    <row r="510" spans="1:16" x14ac:dyDescent="0.25">
      <c r="A510">
        <v>23348</v>
      </c>
      <c r="B510" t="s">
        <v>219</v>
      </c>
      <c r="C510" t="s">
        <v>181</v>
      </c>
      <c r="D510" t="s">
        <v>1032</v>
      </c>
      <c r="E510" t="s">
        <v>1035</v>
      </c>
      <c r="F510" t="s">
        <v>1011</v>
      </c>
      <c r="G510" t="str">
        <f>UPPER(Table1[[#This Row],[State]])</f>
        <v>GUJARAT</v>
      </c>
      <c r="H510" t="s">
        <v>1016</v>
      </c>
      <c r="I510" t="s">
        <v>807</v>
      </c>
      <c r="J510" t="s">
        <v>1026</v>
      </c>
      <c r="K510">
        <v>4667</v>
      </c>
      <c r="L510" s="1">
        <v>44004</v>
      </c>
      <c r="M510" s="1">
        <v>44005</v>
      </c>
      <c r="N510">
        <v>9</v>
      </c>
      <c r="O510" s="4" cm="1">
        <f t="array" ref="O510">_xlfn.IFS(J510="Dell Inspiron 15",66989,J510="Lenovo IdeaPad Slim 3i",34690,J510="Mi NoteBook Ultra",57999,J510="Samsung Galaxy Go",36990,J510="Acer Aspire 3",38980)</f>
        <v>38980</v>
      </c>
      <c r="P510" t="s">
        <v>1029</v>
      </c>
    </row>
    <row r="511" spans="1:16" x14ac:dyDescent="0.25">
      <c r="A511">
        <v>20490</v>
      </c>
      <c r="B511" t="s">
        <v>391</v>
      </c>
      <c r="C511" t="s">
        <v>145</v>
      </c>
      <c r="D511" t="s">
        <v>1032</v>
      </c>
      <c r="E511" t="s">
        <v>1036</v>
      </c>
      <c r="F511" t="s">
        <v>1012</v>
      </c>
      <c r="G511" t="str">
        <f>UPPER(Table1[[#This Row],[State]])</f>
        <v>DELHI</v>
      </c>
      <c r="H511" t="s">
        <v>1017</v>
      </c>
      <c r="I511" t="s">
        <v>808</v>
      </c>
      <c r="J511" t="s">
        <v>1025</v>
      </c>
      <c r="K511">
        <v>4830</v>
      </c>
      <c r="L511" s="1">
        <v>43833</v>
      </c>
      <c r="M511" s="1">
        <v>43834</v>
      </c>
      <c r="N511">
        <v>5</v>
      </c>
      <c r="O511" s="4" cm="1">
        <f t="array" ref="O511">_xlfn.IFS(J511="Dell Inspiron 15",66989,J511="Lenovo IdeaPad Slim 3i",34690,J511="Mi NoteBook Ultra",57999,J511="Samsung Galaxy Go",36990,J511="Acer Aspire 3",38980)</f>
        <v>36990</v>
      </c>
      <c r="P511" t="s">
        <v>1029</v>
      </c>
    </row>
    <row r="512" spans="1:16" x14ac:dyDescent="0.25">
      <c r="A512">
        <v>18819</v>
      </c>
      <c r="B512" t="s">
        <v>432</v>
      </c>
      <c r="C512" t="s">
        <v>493</v>
      </c>
      <c r="D512" t="s">
        <v>1032</v>
      </c>
      <c r="E512" t="s">
        <v>1033</v>
      </c>
      <c r="F512" t="s">
        <v>1009</v>
      </c>
      <c r="G512" t="str">
        <f>UPPER(Table1[[#This Row],[State]])</f>
        <v>BIHAR</v>
      </c>
      <c r="H512" t="s">
        <v>1014</v>
      </c>
      <c r="I512" t="s">
        <v>809</v>
      </c>
      <c r="J512" t="s">
        <v>1026</v>
      </c>
      <c r="K512">
        <v>5114</v>
      </c>
      <c r="L512" s="1">
        <v>43925</v>
      </c>
      <c r="M512" s="1">
        <v>43927</v>
      </c>
      <c r="N512">
        <v>1</v>
      </c>
      <c r="O512" s="4" cm="1">
        <f t="array" ref="O512">_xlfn.IFS(J512="Dell Inspiron 15",66989,J512="Lenovo IdeaPad Slim 3i",34690,J512="Mi NoteBook Ultra",57999,J512="Samsung Galaxy Go",36990,J512="Acer Aspire 3",38980)</f>
        <v>38980</v>
      </c>
      <c r="P512" t="s">
        <v>1029</v>
      </c>
    </row>
    <row r="513" spans="1:16" x14ac:dyDescent="0.25">
      <c r="A513">
        <v>19323</v>
      </c>
      <c r="B513" t="s">
        <v>47</v>
      </c>
      <c r="C513" t="s">
        <v>258</v>
      </c>
      <c r="D513" t="s">
        <v>1032</v>
      </c>
      <c r="E513" t="s">
        <v>1034</v>
      </c>
      <c r="F513" t="s">
        <v>1010</v>
      </c>
      <c r="G513" t="str">
        <f>UPPER(Table1[[#This Row],[State]])</f>
        <v>PUDUCHERRY</v>
      </c>
      <c r="H513" t="s">
        <v>1015</v>
      </c>
      <c r="I513" t="s">
        <v>810</v>
      </c>
      <c r="J513" t="s">
        <v>1022</v>
      </c>
      <c r="K513">
        <v>5514</v>
      </c>
      <c r="L513" s="1">
        <v>43925</v>
      </c>
      <c r="M513" s="1">
        <v>43927</v>
      </c>
      <c r="N513">
        <v>2</v>
      </c>
      <c r="O513" s="4" cm="1">
        <f t="array" ref="O513">_xlfn.IFS(J513="Dell Inspiron 15",66989,J513="Lenovo IdeaPad Slim 3i",34690,J513="Mi NoteBook Ultra",57999,J513="Samsung Galaxy Go",36990,J513="Acer Aspire 3",38980)</f>
        <v>66989</v>
      </c>
      <c r="P513" t="s">
        <v>1029</v>
      </c>
    </row>
    <row r="514" spans="1:16" x14ac:dyDescent="0.25">
      <c r="A514">
        <v>20300</v>
      </c>
      <c r="B514" t="s">
        <v>557</v>
      </c>
      <c r="C514" t="s">
        <v>414</v>
      </c>
      <c r="D514" t="s">
        <v>1032</v>
      </c>
      <c r="E514" t="s">
        <v>1033</v>
      </c>
      <c r="F514" t="s">
        <v>1009</v>
      </c>
      <c r="G514" t="str">
        <f>UPPER(Table1[[#This Row],[State]])</f>
        <v>BIHAR</v>
      </c>
      <c r="H514" t="s">
        <v>1014</v>
      </c>
      <c r="I514" t="s">
        <v>811</v>
      </c>
      <c r="J514" t="s">
        <v>1024</v>
      </c>
      <c r="K514">
        <v>5452</v>
      </c>
      <c r="L514" s="1">
        <v>43930</v>
      </c>
      <c r="M514" s="1">
        <v>43932</v>
      </c>
      <c r="N514">
        <v>8</v>
      </c>
      <c r="O514" s="4" cm="1">
        <f t="array" ref="O514">_xlfn.IFS(J514="Dell Inspiron 15",66989,J514="Lenovo IdeaPad Slim 3i",34690,J514="Mi NoteBook Ultra",57999,J514="Samsung Galaxy Go",36990,J514="Acer Aspire 3",38980)</f>
        <v>57999</v>
      </c>
      <c r="P514" t="s">
        <v>1029</v>
      </c>
    </row>
    <row r="515" spans="1:16" x14ac:dyDescent="0.25">
      <c r="A515">
        <v>13476</v>
      </c>
      <c r="B515" t="s">
        <v>730</v>
      </c>
      <c r="C515" t="s">
        <v>23</v>
      </c>
      <c r="D515" t="s">
        <v>1032</v>
      </c>
      <c r="E515" t="s">
        <v>1035</v>
      </c>
      <c r="F515" t="s">
        <v>1011</v>
      </c>
      <c r="G515" t="str">
        <f>UPPER(Table1[[#This Row],[State]])</f>
        <v>GUJARAT</v>
      </c>
      <c r="H515" t="s">
        <v>1016</v>
      </c>
      <c r="I515" t="s">
        <v>812</v>
      </c>
      <c r="J515" t="s">
        <v>1026</v>
      </c>
      <c r="K515">
        <v>5171</v>
      </c>
      <c r="L515" s="1">
        <v>43833</v>
      </c>
      <c r="M515" s="1">
        <v>43834</v>
      </c>
      <c r="N515">
        <v>9</v>
      </c>
      <c r="O515" s="4" cm="1">
        <f t="array" ref="O515">_xlfn.IFS(J515="Dell Inspiron 15",66989,J515="Lenovo IdeaPad Slim 3i",34690,J515="Mi NoteBook Ultra",57999,J515="Samsung Galaxy Go",36990,J515="Acer Aspire 3",38980)</f>
        <v>38980</v>
      </c>
      <c r="P515" t="s">
        <v>1029</v>
      </c>
    </row>
    <row r="516" spans="1:16" x14ac:dyDescent="0.25">
      <c r="A516">
        <v>13736</v>
      </c>
      <c r="B516" t="s">
        <v>158</v>
      </c>
      <c r="C516" t="s">
        <v>666</v>
      </c>
      <c r="D516" t="s">
        <v>1032</v>
      </c>
      <c r="E516" t="s">
        <v>1035</v>
      </c>
      <c r="F516" t="s">
        <v>1011</v>
      </c>
      <c r="G516" t="str">
        <f>UPPER(Table1[[#This Row],[State]])</f>
        <v>GUJARAT</v>
      </c>
      <c r="H516" t="s">
        <v>1016</v>
      </c>
      <c r="I516" t="s">
        <v>813</v>
      </c>
      <c r="J516" t="s">
        <v>1022</v>
      </c>
      <c r="K516">
        <v>5048</v>
      </c>
      <c r="L516" s="1">
        <v>43925</v>
      </c>
      <c r="M516" s="1">
        <v>43927</v>
      </c>
      <c r="N516">
        <v>1</v>
      </c>
      <c r="O516" s="4" cm="1">
        <f t="array" ref="O516">_xlfn.IFS(J516="Dell Inspiron 15",66989,J516="Lenovo IdeaPad Slim 3i",34690,J516="Mi NoteBook Ultra",57999,J516="Samsung Galaxy Go",36990,J516="Acer Aspire 3",38980)</f>
        <v>66989</v>
      </c>
      <c r="P516" t="s">
        <v>1029</v>
      </c>
    </row>
    <row r="517" spans="1:16" x14ac:dyDescent="0.25">
      <c r="A517">
        <v>21045</v>
      </c>
      <c r="B517" t="s">
        <v>449</v>
      </c>
      <c r="C517" t="s">
        <v>11</v>
      </c>
      <c r="D517" t="s">
        <v>1032</v>
      </c>
      <c r="E517" t="s">
        <v>1036</v>
      </c>
      <c r="F517" t="s">
        <v>1012</v>
      </c>
      <c r="G517" t="str">
        <f>UPPER(Table1[[#This Row],[State]])</f>
        <v>DELHI</v>
      </c>
      <c r="H517" t="s">
        <v>1017</v>
      </c>
      <c r="I517" t="s">
        <v>814</v>
      </c>
      <c r="J517" t="s">
        <v>1023</v>
      </c>
      <c r="K517">
        <v>5295</v>
      </c>
      <c r="L517" s="1">
        <v>43925</v>
      </c>
      <c r="M517" s="1">
        <v>43927</v>
      </c>
      <c r="N517">
        <v>4</v>
      </c>
      <c r="O517" s="4" cm="1">
        <f t="array" ref="O517">_xlfn.IFS(J517="Dell Inspiron 15",66989,J517="Lenovo IdeaPad Slim 3i",34690,J517="Mi NoteBook Ultra",57999,J517="Samsung Galaxy Go",36990,J517="Acer Aspire 3",38980)</f>
        <v>34690</v>
      </c>
      <c r="P517" t="s">
        <v>1029</v>
      </c>
    </row>
    <row r="518" spans="1:16" x14ac:dyDescent="0.25">
      <c r="A518">
        <v>12634</v>
      </c>
      <c r="B518" t="s">
        <v>432</v>
      </c>
      <c r="C518" t="s">
        <v>87</v>
      </c>
      <c r="D518" t="s">
        <v>1032</v>
      </c>
      <c r="E518" t="s">
        <v>1033</v>
      </c>
      <c r="F518" t="s">
        <v>1009</v>
      </c>
      <c r="G518" t="str">
        <f>UPPER(Table1[[#This Row],[State]])</f>
        <v>BIHAR</v>
      </c>
      <c r="H518" t="s">
        <v>1014</v>
      </c>
      <c r="I518" t="s">
        <v>815</v>
      </c>
      <c r="J518" t="s">
        <v>1025</v>
      </c>
      <c r="K518">
        <v>5522</v>
      </c>
      <c r="L518" s="1">
        <v>43930</v>
      </c>
      <c r="M518" s="1">
        <v>43932</v>
      </c>
      <c r="N518">
        <v>3</v>
      </c>
      <c r="O518" s="4" cm="1">
        <f t="array" ref="O518">_xlfn.IFS(J518="Dell Inspiron 15",66989,J518="Lenovo IdeaPad Slim 3i",34690,J518="Mi NoteBook Ultra",57999,J518="Samsung Galaxy Go",36990,J518="Acer Aspire 3",38980)</f>
        <v>36990</v>
      </c>
      <c r="P518" t="s">
        <v>1029</v>
      </c>
    </row>
    <row r="519" spans="1:16" x14ac:dyDescent="0.25">
      <c r="A519">
        <v>24312</v>
      </c>
      <c r="B519" t="s">
        <v>614</v>
      </c>
      <c r="C519" t="s">
        <v>214</v>
      </c>
      <c r="D519" t="s">
        <v>1032</v>
      </c>
      <c r="E519" t="s">
        <v>1034</v>
      </c>
      <c r="F519" t="s">
        <v>1010</v>
      </c>
      <c r="G519" t="str">
        <f>UPPER(Table1[[#This Row],[State]])</f>
        <v>PUDUCHERRY</v>
      </c>
      <c r="H519" t="s">
        <v>1015</v>
      </c>
      <c r="I519" t="s">
        <v>816</v>
      </c>
      <c r="J519" t="s">
        <v>1022</v>
      </c>
      <c r="K519">
        <v>4919</v>
      </c>
      <c r="L519" s="1">
        <v>43842</v>
      </c>
      <c r="M519" s="1">
        <v>43843</v>
      </c>
      <c r="N519">
        <v>10</v>
      </c>
      <c r="O519" s="4" cm="1">
        <f t="array" ref="O519">_xlfn.IFS(J519="Dell Inspiron 15",66989,J519="Lenovo IdeaPad Slim 3i",34690,J519="Mi NoteBook Ultra",57999,J519="Samsung Galaxy Go",36990,J519="Acer Aspire 3",38980)</f>
        <v>66989</v>
      </c>
      <c r="P519" t="s">
        <v>1029</v>
      </c>
    </row>
    <row r="520" spans="1:16" x14ac:dyDescent="0.25">
      <c r="A520">
        <v>21441</v>
      </c>
      <c r="B520" t="s">
        <v>295</v>
      </c>
      <c r="C520" t="s">
        <v>414</v>
      </c>
      <c r="D520" t="s">
        <v>1032</v>
      </c>
      <c r="E520" t="s">
        <v>1033</v>
      </c>
      <c r="F520" t="s">
        <v>1009</v>
      </c>
      <c r="G520" t="str">
        <f>UPPER(Table1[[#This Row],[State]])</f>
        <v>BIHAR</v>
      </c>
      <c r="H520" t="s">
        <v>1014</v>
      </c>
      <c r="I520" t="s">
        <v>817</v>
      </c>
      <c r="J520" t="s">
        <v>1026</v>
      </c>
      <c r="K520">
        <v>5135</v>
      </c>
      <c r="L520" s="1">
        <v>43842</v>
      </c>
      <c r="M520" s="1">
        <v>43844</v>
      </c>
      <c r="N520">
        <v>7</v>
      </c>
      <c r="O520" s="4" cm="1">
        <f t="array" ref="O520">_xlfn.IFS(J520="Dell Inspiron 15",66989,J520="Lenovo IdeaPad Slim 3i",34690,J520="Mi NoteBook Ultra",57999,J520="Samsung Galaxy Go",36990,J520="Acer Aspire 3",38980)</f>
        <v>38980</v>
      </c>
      <c r="P520" t="s">
        <v>1029</v>
      </c>
    </row>
    <row r="521" spans="1:16" x14ac:dyDescent="0.25">
      <c r="A521">
        <v>23641</v>
      </c>
      <c r="B521" t="s">
        <v>673</v>
      </c>
      <c r="C521" t="s">
        <v>309</v>
      </c>
      <c r="D521" t="s">
        <v>1032</v>
      </c>
      <c r="E521" t="s">
        <v>1035</v>
      </c>
      <c r="F521" t="s">
        <v>1011</v>
      </c>
      <c r="G521" t="str">
        <f>UPPER(Table1[[#This Row],[State]])</f>
        <v>GUJARAT</v>
      </c>
      <c r="H521" t="s">
        <v>1016</v>
      </c>
      <c r="I521" t="s">
        <v>818</v>
      </c>
      <c r="J521" t="s">
        <v>1024</v>
      </c>
      <c r="K521">
        <v>4581</v>
      </c>
      <c r="L521" s="1">
        <v>43930</v>
      </c>
      <c r="M521" s="1">
        <v>43931</v>
      </c>
      <c r="N521">
        <v>4</v>
      </c>
      <c r="O521" s="4" cm="1">
        <f t="array" ref="O521">_xlfn.IFS(J521="Dell Inspiron 15",66989,J521="Lenovo IdeaPad Slim 3i",34690,J521="Mi NoteBook Ultra",57999,J521="Samsung Galaxy Go",36990,J521="Acer Aspire 3",38980)</f>
        <v>57999</v>
      </c>
      <c r="P521" t="s">
        <v>1029</v>
      </c>
    </row>
    <row r="522" spans="1:16" x14ac:dyDescent="0.25">
      <c r="A522">
        <v>18810</v>
      </c>
      <c r="B522" t="s">
        <v>308</v>
      </c>
      <c r="C522" t="s">
        <v>205</v>
      </c>
      <c r="D522" t="s">
        <v>1032</v>
      </c>
      <c r="E522" t="s">
        <v>1035</v>
      </c>
      <c r="F522" t="s">
        <v>1011</v>
      </c>
      <c r="G522" t="str">
        <f>UPPER(Table1[[#This Row],[State]])</f>
        <v>GUJARAT</v>
      </c>
      <c r="H522" t="s">
        <v>1016</v>
      </c>
      <c r="I522" t="s">
        <v>819</v>
      </c>
      <c r="J522" t="s">
        <v>1025</v>
      </c>
      <c r="K522">
        <v>4610</v>
      </c>
      <c r="L522" s="1">
        <v>43857</v>
      </c>
      <c r="M522" s="1">
        <v>43858</v>
      </c>
      <c r="N522">
        <v>7</v>
      </c>
      <c r="O522" s="4" cm="1">
        <f t="array" ref="O522">_xlfn.IFS(J522="Dell Inspiron 15",66989,J522="Lenovo IdeaPad Slim 3i",34690,J522="Mi NoteBook Ultra",57999,J522="Samsung Galaxy Go",36990,J522="Acer Aspire 3",38980)</f>
        <v>36990</v>
      </c>
      <c r="P522" t="s">
        <v>1029</v>
      </c>
    </row>
    <row r="523" spans="1:16" x14ac:dyDescent="0.25">
      <c r="A523">
        <v>17451</v>
      </c>
      <c r="B523" t="s">
        <v>219</v>
      </c>
      <c r="C523" t="s">
        <v>85</v>
      </c>
      <c r="D523" t="s">
        <v>1032</v>
      </c>
      <c r="E523" t="s">
        <v>1035</v>
      </c>
      <c r="F523" t="s">
        <v>1011</v>
      </c>
      <c r="G523" t="str">
        <f>UPPER(Table1[[#This Row],[State]])</f>
        <v>GUJARAT</v>
      </c>
      <c r="H523" t="s">
        <v>1016</v>
      </c>
      <c r="I523" t="s">
        <v>820</v>
      </c>
      <c r="J523" t="s">
        <v>1026</v>
      </c>
      <c r="K523">
        <v>5046</v>
      </c>
      <c r="L523" s="1">
        <v>43976</v>
      </c>
      <c r="M523" s="1">
        <v>43977</v>
      </c>
      <c r="N523">
        <v>1</v>
      </c>
      <c r="O523" s="4" cm="1">
        <f t="array" ref="O523">_xlfn.IFS(J523="Dell Inspiron 15",66989,J523="Lenovo IdeaPad Slim 3i",34690,J523="Mi NoteBook Ultra",57999,J523="Samsung Galaxy Go",36990,J523="Acer Aspire 3",38980)</f>
        <v>38980</v>
      </c>
      <c r="P523" t="s">
        <v>1029</v>
      </c>
    </row>
    <row r="524" spans="1:16" x14ac:dyDescent="0.25">
      <c r="A524">
        <v>12577</v>
      </c>
      <c r="B524" t="s">
        <v>169</v>
      </c>
      <c r="C524" t="s">
        <v>95</v>
      </c>
      <c r="D524" t="s">
        <v>1032</v>
      </c>
      <c r="E524" t="s">
        <v>1036</v>
      </c>
      <c r="F524" t="s">
        <v>1012</v>
      </c>
      <c r="G524" t="str">
        <f>UPPER(Table1[[#This Row],[State]])</f>
        <v>DELHI</v>
      </c>
      <c r="H524" t="s">
        <v>1017</v>
      </c>
      <c r="I524" t="s">
        <v>821</v>
      </c>
      <c r="J524" t="s">
        <v>1022</v>
      </c>
      <c r="K524">
        <v>4532</v>
      </c>
      <c r="L524" s="1">
        <v>43967</v>
      </c>
      <c r="M524" s="1">
        <v>43968</v>
      </c>
      <c r="N524">
        <v>10</v>
      </c>
      <c r="O524" s="4" cm="1">
        <f t="array" ref="O524">_xlfn.IFS(J524="Dell Inspiron 15",66989,J524="Lenovo IdeaPad Slim 3i",34690,J524="Mi NoteBook Ultra",57999,J524="Samsung Galaxy Go",36990,J524="Acer Aspire 3",38980)</f>
        <v>66989</v>
      </c>
      <c r="P524" t="s">
        <v>1029</v>
      </c>
    </row>
    <row r="525" spans="1:16" x14ac:dyDescent="0.25">
      <c r="A525">
        <v>12798</v>
      </c>
      <c r="B525" t="s">
        <v>187</v>
      </c>
      <c r="C525" t="s">
        <v>38</v>
      </c>
      <c r="D525" t="s">
        <v>1032</v>
      </c>
      <c r="E525" t="s">
        <v>1035</v>
      </c>
      <c r="F525" t="s">
        <v>1011</v>
      </c>
      <c r="G525" t="str">
        <f>UPPER(Table1[[#This Row],[State]])</f>
        <v>GUJARAT</v>
      </c>
      <c r="H525" t="s">
        <v>1016</v>
      </c>
      <c r="I525" t="s">
        <v>822</v>
      </c>
      <c r="J525" t="s">
        <v>1024</v>
      </c>
      <c r="K525">
        <v>4603</v>
      </c>
      <c r="L525" s="1">
        <v>43967</v>
      </c>
      <c r="M525" s="1">
        <v>43968</v>
      </c>
      <c r="N525">
        <v>2</v>
      </c>
      <c r="O525" s="4" cm="1">
        <f t="array" ref="O525">_xlfn.IFS(J525="Dell Inspiron 15",66989,J525="Lenovo IdeaPad Slim 3i",34690,J525="Mi NoteBook Ultra",57999,J525="Samsung Galaxy Go",36990,J525="Acer Aspire 3",38980)</f>
        <v>57999</v>
      </c>
      <c r="P525" t="s">
        <v>1029</v>
      </c>
    </row>
    <row r="526" spans="1:16" x14ac:dyDescent="0.25">
      <c r="A526">
        <v>25430</v>
      </c>
      <c r="B526" t="s">
        <v>97</v>
      </c>
      <c r="C526" t="s">
        <v>359</v>
      </c>
      <c r="D526" t="s">
        <v>1032</v>
      </c>
      <c r="E526" t="s">
        <v>1035</v>
      </c>
      <c r="F526" t="s">
        <v>1011</v>
      </c>
      <c r="G526" t="str">
        <f>UPPER(Table1[[#This Row],[State]])</f>
        <v>GUJARAT</v>
      </c>
      <c r="H526" t="s">
        <v>1016</v>
      </c>
      <c r="I526" t="s">
        <v>823</v>
      </c>
      <c r="J526" t="s">
        <v>1026</v>
      </c>
      <c r="K526">
        <v>4728</v>
      </c>
      <c r="L526" s="1">
        <v>43984</v>
      </c>
      <c r="M526" s="1">
        <v>43985</v>
      </c>
      <c r="N526">
        <v>7</v>
      </c>
      <c r="O526" s="4" cm="1">
        <f t="array" ref="O526">_xlfn.IFS(J526="Dell Inspiron 15",66989,J526="Lenovo IdeaPad Slim 3i",34690,J526="Mi NoteBook Ultra",57999,J526="Samsung Galaxy Go",36990,J526="Acer Aspire 3",38980)</f>
        <v>38980</v>
      </c>
      <c r="P526" t="s">
        <v>1029</v>
      </c>
    </row>
    <row r="527" spans="1:16" x14ac:dyDescent="0.25">
      <c r="A527">
        <v>12724</v>
      </c>
      <c r="B527" t="s">
        <v>361</v>
      </c>
      <c r="C527" t="s">
        <v>165</v>
      </c>
      <c r="D527" t="s">
        <v>1032</v>
      </c>
      <c r="E527" t="s">
        <v>1036</v>
      </c>
      <c r="F527" t="s">
        <v>1012</v>
      </c>
      <c r="G527" t="str">
        <f>UPPER(Table1[[#This Row],[State]])</f>
        <v>DELHI</v>
      </c>
      <c r="H527" t="s">
        <v>1017</v>
      </c>
      <c r="I527" t="s">
        <v>824</v>
      </c>
      <c r="J527" t="s">
        <v>1022</v>
      </c>
      <c r="K527">
        <v>5430</v>
      </c>
      <c r="L527" s="1">
        <v>43984</v>
      </c>
      <c r="M527" s="1">
        <v>43985</v>
      </c>
      <c r="N527">
        <v>8</v>
      </c>
      <c r="O527" s="4" cm="1">
        <f t="array" ref="O527">_xlfn.IFS(J527="Dell Inspiron 15",66989,J527="Lenovo IdeaPad Slim 3i",34690,J527="Mi NoteBook Ultra",57999,J527="Samsung Galaxy Go",36990,J527="Acer Aspire 3",38980)</f>
        <v>66989</v>
      </c>
      <c r="P527" t="s">
        <v>1029</v>
      </c>
    </row>
    <row r="528" spans="1:16" x14ac:dyDescent="0.25">
      <c r="A528">
        <v>24157</v>
      </c>
      <c r="B528" t="s">
        <v>344</v>
      </c>
      <c r="C528" t="s">
        <v>293</v>
      </c>
      <c r="D528" t="s">
        <v>1032</v>
      </c>
      <c r="E528" t="s">
        <v>1036</v>
      </c>
      <c r="F528" t="s">
        <v>1012</v>
      </c>
      <c r="G528" t="str">
        <f>UPPER(Table1[[#This Row],[State]])</f>
        <v>DELHI</v>
      </c>
      <c r="H528" t="s">
        <v>1017</v>
      </c>
      <c r="I528" t="s">
        <v>825</v>
      </c>
      <c r="J528" t="s">
        <v>1023</v>
      </c>
      <c r="K528">
        <v>4551</v>
      </c>
      <c r="L528" s="1">
        <v>43845</v>
      </c>
      <c r="M528" s="1">
        <v>43847</v>
      </c>
      <c r="N528">
        <v>9</v>
      </c>
      <c r="O528" s="4" cm="1">
        <f t="array" ref="O528">_xlfn.IFS(J528="Dell Inspiron 15",66989,J528="Lenovo IdeaPad Slim 3i",34690,J528="Mi NoteBook Ultra",57999,J528="Samsung Galaxy Go",36990,J528="Acer Aspire 3",38980)</f>
        <v>34690</v>
      </c>
      <c r="P528" t="s">
        <v>1029</v>
      </c>
    </row>
    <row r="529" spans="1:16" x14ac:dyDescent="0.25">
      <c r="A529">
        <v>14113</v>
      </c>
      <c r="B529" t="s">
        <v>517</v>
      </c>
      <c r="C529" t="s">
        <v>283</v>
      </c>
      <c r="D529" t="s">
        <v>1032</v>
      </c>
      <c r="E529" t="s">
        <v>1033</v>
      </c>
      <c r="F529" t="s">
        <v>1009</v>
      </c>
      <c r="G529" t="str">
        <f>UPPER(Table1[[#This Row],[State]])</f>
        <v>BIHAR</v>
      </c>
      <c r="H529" t="s">
        <v>1014</v>
      </c>
      <c r="I529" t="s">
        <v>826</v>
      </c>
      <c r="J529" t="s">
        <v>1024</v>
      </c>
      <c r="K529">
        <v>4820</v>
      </c>
      <c r="L529" s="1">
        <v>43906</v>
      </c>
      <c r="M529" s="1">
        <v>43906</v>
      </c>
      <c r="N529">
        <v>6</v>
      </c>
      <c r="O529" s="4" cm="1">
        <f t="array" ref="O529">_xlfn.IFS(J529="Dell Inspiron 15",66989,J529="Lenovo IdeaPad Slim 3i",34690,J529="Mi NoteBook Ultra",57999,J529="Samsung Galaxy Go",36990,J529="Acer Aspire 3",38980)</f>
        <v>57999</v>
      </c>
      <c r="P529" t="s">
        <v>1029</v>
      </c>
    </row>
    <row r="530" spans="1:16" x14ac:dyDescent="0.25">
      <c r="A530">
        <v>23396</v>
      </c>
      <c r="B530" t="s">
        <v>260</v>
      </c>
      <c r="C530" t="s">
        <v>429</v>
      </c>
      <c r="D530" t="s">
        <v>1032</v>
      </c>
      <c r="E530" t="s">
        <v>1034</v>
      </c>
      <c r="F530" t="s">
        <v>1010</v>
      </c>
      <c r="G530" t="str">
        <f>UPPER(Table1[[#This Row],[State]])</f>
        <v>PUDUCHERRY</v>
      </c>
      <c r="H530" t="s">
        <v>1015</v>
      </c>
      <c r="I530" t="s">
        <v>827</v>
      </c>
      <c r="J530" t="s">
        <v>1025</v>
      </c>
      <c r="K530">
        <v>5151</v>
      </c>
      <c r="L530" s="1">
        <v>43902</v>
      </c>
      <c r="M530" s="1">
        <v>43903</v>
      </c>
      <c r="N530">
        <v>2</v>
      </c>
      <c r="O530" s="4" cm="1">
        <f t="array" ref="O530">_xlfn.IFS(J530="Dell Inspiron 15",66989,J530="Lenovo IdeaPad Slim 3i",34690,J530="Mi NoteBook Ultra",57999,J530="Samsung Galaxy Go",36990,J530="Acer Aspire 3",38980)</f>
        <v>36990</v>
      </c>
      <c r="P530" t="s">
        <v>1029</v>
      </c>
    </row>
    <row r="531" spans="1:16" x14ac:dyDescent="0.25">
      <c r="A531">
        <v>24764</v>
      </c>
      <c r="B531" t="s">
        <v>79</v>
      </c>
      <c r="C531" t="s">
        <v>512</v>
      </c>
      <c r="D531" t="s">
        <v>1032</v>
      </c>
      <c r="E531" t="s">
        <v>1033</v>
      </c>
      <c r="F531" t="s">
        <v>1009</v>
      </c>
      <c r="G531" t="str">
        <f>UPPER(Table1[[#This Row],[State]])</f>
        <v>BIHAR</v>
      </c>
      <c r="H531" t="s">
        <v>1014</v>
      </c>
      <c r="I531" t="s">
        <v>828</v>
      </c>
      <c r="J531" t="s">
        <v>1026</v>
      </c>
      <c r="K531">
        <v>5291</v>
      </c>
      <c r="L531" s="1">
        <v>43944</v>
      </c>
      <c r="M531" s="1">
        <v>43945</v>
      </c>
      <c r="N531">
        <v>9</v>
      </c>
      <c r="O531" s="4" cm="1">
        <f t="array" ref="O531">_xlfn.IFS(J531="Dell Inspiron 15",66989,J531="Lenovo IdeaPad Slim 3i",34690,J531="Mi NoteBook Ultra",57999,J531="Samsung Galaxy Go",36990,J531="Acer Aspire 3",38980)</f>
        <v>38980</v>
      </c>
      <c r="P531" t="s">
        <v>1029</v>
      </c>
    </row>
    <row r="532" spans="1:16" x14ac:dyDescent="0.25">
      <c r="A532">
        <v>16363</v>
      </c>
      <c r="B532" t="s">
        <v>432</v>
      </c>
      <c r="C532" t="s">
        <v>105</v>
      </c>
      <c r="D532" t="s">
        <v>1032</v>
      </c>
      <c r="E532" t="s">
        <v>1035</v>
      </c>
      <c r="F532" t="s">
        <v>1011</v>
      </c>
      <c r="G532" t="str">
        <f>UPPER(Table1[[#This Row],[State]])</f>
        <v>GUJARAT</v>
      </c>
      <c r="H532" t="s">
        <v>1016</v>
      </c>
      <c r="I532" t="s">
        <v>829</v>
      </c>
      <c r="J532" t="s">
        <v>1022</v>
      </c>
      <c r="K532">
        <v>5516</v>
      </c>
      <c r="L532" s="1">
        <v>43852</v>
      </c>
      <c r="M532" s="1">
        <v>43853</v>
      </c>
      <c r="N532">
        <v>8</v>
      </c>
      <c r="O532" s="4" cm="1">
        <f t="array" ref="O532">_xlfn.IFS(J532="Dell Inspiron 15",66989,J532="Lenovo IdeaPad Slim 3i",34690,J532="Mi NoteBook Ultra",57999,J532="Samsung Galaxy Go",36990,J532="Acer Aspire 3",38980)</f>
        <v>66989</v>
      </c>
      <c r="P532" t="s">
        <v>1029</v>
      </c>
    </row>
    <row r="533" spans="1:16" x14ac:dyDescent="0.25">
      <c r="A533">
        <v>21495</v>
      </c>
      <c r="B533" t="s">
        <v>313</v>
      </c>
      <c r="C533" t="s">
        <v>427</v>
      </c>
      <c r="D533" t="s">
        <v>1032</v>
      </c>
      <c r="E533" t="s">
        <v>1035</v>
      </c>
      <c r="F533" t="s">
        <v>1011</v>
      </c>
      <c r="G533" t="str">
        <f>UPPER(Table1[[#This Row],[State]])</f>
        <v>GUJARAT</v>
      </c>
      <c r="H533" t="s">
        <v>1016</v>
      </c>
      <c r="I533" t="s">
        <v>830</v>
      </c>
      <c r="J533" t="s">
        <v>1024</v>
      </c>
      <c r="K533">
        <v>4666</v>
      </c>
      <c r="L533" s="1">
        <v>43941</v>
      </c>
      <c r="M533" s="1">
        <v>43943</v>
      </c>
      <c r="N533">
        <v>1</v>
      </c>
      <c r="O533" s="4" cm="1">
        <f t="array" ref="O533">_xlfn.IFS(J533="Dell Inspiron 15",66989,J533="Lenovo IdeaPad Slim 3i",34690,J533="Mi NoteBook Ultra",57999,J533="Samsung Galaxy Go",36990,J533="Acer Aspire 3",38980)</f>
        <v>57999</v>
      </c>
      <c r="P533" t="s">
        <v>1029</v>
      </c>
    </row>
    <row r="534" spans="1:16" x14ac:dyDescent="0.25">
      <c r="A534">
        <v>13403</v>
      </c>
      <c r="B534" t="s">
        <v>150</v>
      </c>
      <c r="C534" t="s">
        <v>123</v>
      </c>
      <c r="D534" t="s">
        <v>1032</v>
      </c>
      <c r="E534" t="s">
        <v>1036</v>
      </c>
      <c r="F534" t="s">
        <v>1012</v>
      </c>
      <c r="G534" t="str">
        <f>UPPER(Table1[[#This Row],[State]])</f>
        <v>DELHI</v>
      </c>
      <c r="H534" t="s">
        <v>1017</v>
      </c>
      <c r="I534" t="s">
        <v>831</v>
      </c>
      <c r="J534" t="s">
        <v>1026</v>
      </c>
      <c r="K534">
        <v>5487</v>
      </c>
      <c r="L534" s="1">
        <v>43845</v>
      </c>
      <c r="M534" s="1">
        <v>43846</v>
      </c>
      <c r="N534">
        <v>4</v>
      </c>
      <c r="O534" s="4" cm="1">
        <f t="array" ref="O534">_xlfn.IFS(J534="Dell Inspiron 15",66989,J534="Lenovo IdeaPad Slim 3i",34690,J534="Mi NoteBook Ultra",57999,J534="Samsung Galaxy Go",36990,J534="Acer Aspire 3",38980)</f>
        <v>38980</v>
      </c>
      <c r="P534" t="s">
        <v>1029</v>
      </c>
    </row>
    <row r="535" spans="1:16" x14ac:dyDescent="0.25">
      <c r="A535">
        <v>18531</v>
      </c>
      <c r="B535" t="s">
        <v>407</v>
      </c>
      <c r="C535" t="s">
        <v>618</v>
      </c>
      <c r="D535" t="s">
        <v>1032</v>
      </c>
      <c r="E535" t="s">
        <v>1033</v>
      </c>
      <c r="F535" t="s">
        <v>1009</v>
      </c>
      <c r="G535" t="str">
        <f>UPPER(Table1[[#This Row],[State]])</f>
        <v>BIHAR</v>
      </c>
      <c r="H535" t="s">
        <v>1014</v>
      </c>
      <c r="I535" t="s">
        <v>832</v>
      </c>
      <c r="J535" t="s">
        <v>1022</v>
      </c>
      <c r="K535">
        <v>5456</v>
      </c>
      <c r="L535" s="1">
        <v>43940</v>
      </c>
      <c r="M535" s="1">
        <v>43947</v>
      </c>
      <c r="N535">
        <v>1</v>
      </c>
      <c r="O535" s="4" cm="1">
        <f t="array" ref="O535">_xlfn.IFS(J535="Dell Inspiron 15",66989,J535="Lenovo IdeaPad Slim 3i",34690,J535="Mi NoteBook Ultra",57999,J535="Samsung Galaxy Go",36990,J535="Acer Aspire 3",38980)</f>
        <v>66989</v>
      </c>
      <c r="P535" t="s">
        <v>1029</v>
      </c>
    </row>
    <row r="536" spans="1:16" x14ac:dyDescent="0.25">
      <c r="A536">
        <v>25372</v>
      </c>
      <c r="B536" t="s">
        <v>412</v>
      </c>
      <c r="C536" t="s">
        <v>521</v>
      </c>
      <c r="D536" t="s">
        <v>1032</v>
      </c>
      <c r="E536" t="s">
        <v>1035</v>
      </c>
      <c r="F536" t="s">
        <v>1011</v>
      </c>
      <c r="G536" t="str">
        <f>UPPER(Table1[[#This Row],[State]])</f>
        <v>GUJARAT</v>
      </c>
      <c r="H536" t="s">
        <v>1016</v>
      </c>
      <c r="I536" t="s">
        <v>833</v>
      </c>
      <c r="J536" t="s">
        <v>1023</v>
      </c>
      <c r="K536">
        <v>5466</v>
      </c>
      <c r="L536" s="1">
        <v>43919</v>
      </c>
      <c r="M536" s="1">
        <v>43922</v>
      </c>
      <c r="N536">
        <v>2</v>
      </c>
      <c r="O536" s="4" cm="1">
        <f t="array" ref="O536">_xlfn.IFS(J536="Dell Inspiron 15",66989,J536="Lenovo IdeaPad Slim 3i",34690,J536="Mi NoteBook Ultra",57999,J536="Samsung Galaxy Go",36990,J536="Acer Aspire 3",38980)</f>
        <v>34690</v>
      </c>
      <c r="P536" t="s">
        <v>1029</v>
      </c>
    </row>
    <row r="537" spans="1:16" x14ac:dyDescent="0.25">
      <c r="A537">
        <v>13197</v>
      </c>
      <c r="B537" t="s">
        <v>464</v>
      </c>
      <c r="C537" t="s">
        <v>533</v>
      </c>
      <c r="D537" t="s">
        <v>1032</v>
      </c>
      <c r="E537" t="s">
        <v>1036</v>
      </c>
      <c r="F537" t="s">
        <v>1012</v>
      </c>
      <c r="G537" t="str">
        <f>UPPER(Table1[[#This Row],[State]])</f>
        <v>DELHI</v>
      </c>
      <c r="H537" t="s">
        <v>1017</v>
      </c>
      <c r="I537" t="s">
        <v>834</v>
      </c>
      <c r="J537" t="s">
        <v>1025</v>
      </c>
      <c r="K537">
        <v>5037</v>
      </c>
      <c r="L537" s="1">
        <v>44000</v>
      </c>
      <c r="M537" s="1">
        <v>44004</v>
      </c>
      <c r="N537">
        <v>10</v>
      </c>
      <c r="O537" s="4" cm="1">
        <f t="array" ref="O537">_xlfn.IFS(J537="Dell Inspiron 15",66989,J537="Lenovo IdeaPad Slim 3i",34690,J537="Mi NoteBook Ultra",57999,J537="Samsung Galaxy Go",36990,J537="Acer Aspire 3",38980)</f>
        <v>36990</v>
      </c>
      <c r="P537" t="s">
        <v>1029</v>
      </c>
    </row>
    <row r="538" spans="1:16" x14ac:dyDescent="0.25">
      <c r="A538">
        <v>23028</v>
      </c>
      <c r="B538" t="s">
        <v>145</v>
      </c>
      <c r="C538" t="s">
        <v>77</v>
      </c>
      <c r="D538" t="s">
        <v>1032</v>
      </c>
      <c r="E538" t="s">
        <v>1033</v>
      </c>
      <c r="F538" t="s">
        <v>1009</v>
      </c>
      <c r="G538" t="str">
        <f>UPPER(Table1[[#This Row],[State]])</f>
        <v>BIHAR</v>
      </c>
      <c r="H538" t="s">
        <v>1014</v>
      </c>
      <c r="I538" t="s">
        <v>835</v>
      </c>
      <c r="J538" t="s">
        <v>1022</v>
      </c>
      <c r="K538">
        <v>4966</v>
      </c>
      <c r="L538" s="1">
        <v>43965</v>
      </c>
      <c r="M538" s="1">
        <v>43966</v>
      </c>
      <c r="N538">
        <v>4</v>
      </c>
      <c r="O538" s="4" cm="1">
        <f t="array" ref="O538">_xlfn.IFS(J538="Dell Inspiron 15",66989,J538="Lenovo IdeaPad Slim 3i",34690,J538="Mi NoteBook Ultra",57999,J538="Samsung Galaxy Go",36990,J538="Acer Aspire 3",38980)</f>
        <v>66989</v>
      </c>
      <c r="P538" t="s">
        <v>1029</v>
      </c>
    </row>
    <row r="539" spans="1:16" x14ac:dyDescent="0.25">
      <c r="A539">
        <v>20703</v>
      </c>
      <c r="B539" t="s">
        <v>364</v>
      </c>
      <c r="C539" t="s">
        <v>85</v>
      </c>
      <c r="D539" t="s">
        <v>1032</v>
      </c>
      <c r="E539" t="s">
        <v>1036</v>
      </c>
      <c r="F539" t="s">
        <v>1012</v>
      </c>
      <c r="G539" t="str">
        <f>UPPER(Table1[[#This Row],[State]])</f>
        <v>DELHI</v>
      </c>
      <c r="H539" t="s">
        <v>1017</v>
      </c>
      <c r="I539" t="s">
        <v>836</v>
      </c>
      <c r="J539" t="s">
        <v>1026</v>
      </c>
      <c r="K539">
        <v>5446</v>
      </c>
      <c r="L539" s="1">
        <v>43855</v>
      </c>
      <c r="M539" s="1">
        <v>43856</v>
      </c>
      <c r="N539">
        <v>9</v>
      </c>
      <c r="O539" s="4" cm="1">
        <f t="array" ref="O539">_xlfn.IFS(J539="Dell Inspiron 15",66989,J539="Lenovo IdeaPad Slim 3i",34690,J539="Mi NoteBook Ultra",57999,J539="Samsung Galaxy Go",36990,J539="Acer Aspire 3",38980)</f>
        <v>38980</v>
      </c>
      <c r="P539" t="s">
        <v>1029</v>
      </c>
    </row>
    <row r="540" spans="1:16" x14ac:dyDescent="0.25">
      <c r="A540">
        <v>19490</v>
      </c>
      <c r="B540" t="s">
        <v>245</v>
      </c>
      <c r="C540" t="s">
        <v>606</v>
      </c>
      <c r="D540" t="s">
        <v>1032</v>
      </c>
      <c r="E540" t="s">
        <v>1033</v>
      </c>
      <c r="F540" t="s">
        <v>1009</v>
      </c>
      <c r="G540" t="str">
        <f>UPPER(Table1[[#This Row],[State]])</f>
        <v>BIHAR</v>
      </c>
      <c r="H540" t="s">
        <v>1014</v>
      </c>
      <c r="I540" t="s">
        <v>837</v>
      </c>
      <c r="J540" t="s">
        <v>1024</v>
      </c>
      <c r="K540">
        <v>5084</v>
      </c>
      <c r="L540" s="1">
        <v>43832</v>
      </c>
      <c r="M540" s="1">
        <v>43834</v>
      </c>
      <c r="N540">
        <v>2</v>
      </c>
      <c r="O540" s="4" cm="1">
        <f t="array" ref="O540">_xlfn.IFS(J540="Dell Inspiron 15",66989,J540="Lenovo IdeaPad Slim 3i",34690,J540="Mi NoteBook Ultra",57999,J540="Samsung Galaxy Go",36990,J540="Acer Aspire 3",38980)</f>
        <v>57999</v>
      </c>
      <c r="P540" t="s">
        <v>1029</v>
      </c>
    </row>
    <row r="541" spans="1:16" x14ac:dyDescent="0.25">
      <c r="A541">
        <v>16082</v>
      </c>
      <c r="B541" t="s">
        <v>16</v>
      </c>
      <c r="C541" t="s">
        <v>20</v>
      </c>
      <c r="D541" t="s">
        <v>1032</v>
      </c>
      <c r="E541" t="s">
        <v>1034</v>
      </c>
      <c r="F541" t="s">
        <v>1010</v>
      </c>
      <c r="G541" t="str">
        <f>UPPER(Table1[[#This Row],[State]])</f>
        <v>PUDUCHERRY</v>
      </c>
      <c r="H541" t="s">
        <v>1015</v>
      </c>
      <c r="I541" t="s">
        <v>838</v>
      </c>
      <c r="J541" t="s">
        <v>1025</v>
      </c>
      <c r="K541">
        <v>4818</v>
      </c>
      <c r="L541" s="1">
        <v>43832</v>
      </c>
      <c r="M541" s="1">
        <v>43833</v>
      </c>
      <c r="N541">
        <v>8</v>
      </c>
      <c r="O541" s="4" cm="1">
        <f t="array" ref="O541">_xlfn.IFS(J541="Dell Inspiron 15",66989,J541="Lenovo IdeaPad Slim 3i",34690,J541="Mi NoteBook Ultra",57999,J541="Samsung Galaxy Go",36990,J541="Acer Aspire 3",38980)</f>
        <v>36990</v>
      </c>
      <c r="P541" t="s">
        <v>1029</v>
      </c>
    </row>
    <row r="542" spans="1:16" x14ac:dyDescent="0.25">
      <c r="A542">
        <v>22531</v>
      </c>
      <c r="B542" t="s">
        <v>738</v>
      </c>
      <c r="C542" t="s">
        <v>217</v>
      </c>
      <c r="D542" t="s">
        <v>1032</v>
      </c>
      <c r="E542" t="s">
        <v>1033</v>
      </c>
      <c r="F542" t="s">
        <v>1009</v>
      </c>
      <c r="G542" t="str">
        <f>UPPER(Table1[[#This Row],[State]])</f>
        <v>BIHAR</v>
      </c>
      <c r="H542" t="s">
        <v>1014</v>
      </c>
      <c r="I542" t="s">
        <v>839</v>
      </c>
      <c r="J542" t="s">
        <v>1026</v>
      </c>
      <c r="K542">
        <v>5448</v>
      </c>
      <c r="L542" s="1">
        <v>43841</v>
      </c>
      <c r="M542" s="1">
        <v>43848</v>
      </c>
      <c r="N542">
        <v>9</v>
      </c>
      <c r="O542" s="4" cm="1">
        <f t="array" ref="O542">_xlfn.IFS(J542="Dell Inspiron 15",66989,J542="Lenovo IdeaPad Slim 3i",34690,J542="Mi NoteBook Ultra",57999,J542="Samsung Galaxy Go",36990,J542="Acer Aspire 3",38980)</f>
        <v>38980</v>
      </c>
      <c r="P542" t="s">
        <v>1029</v>
      </c>
    </row>
    <row r="543" spans="1:16" x14ac:dyDescent="0.25">
      <c r="A543">
        <v>19272</v>
      </c>
      <c r="B543" t="s">
        <v>54</v>
      </c>
      <c r="C543" t="s">
        <v>29</v>
      </c>
      <c r="D543" t="s">
        <v>1032</v>
      </c>
      <c r="E543" t="s">
        <v>1035</v>
      </c>
      <c r="F543" t="s">
        <v>1011</v>
      </c>
      <c r="G543" t="str">
        <f>UPPER(Table1[[#This Row],[State]])</f>
        <v>GUJARAT</v>
      </c>
      <c r="H543" t="s">
        <v>1016</v>
      </c>
      <c r="I543" t="s">
        <v>840</v>
      </c>
      <c r="J543" t="s">
        <v>1022</v>
      </c>
      <c r="K543">
        <v>4985</v>
      </c>
      <c r="L543" s="1">
        <v>43833</v>
      </c>
      <c r="M543" s="1">
        <v>43835</v>
      </c>
      <c r="N543">
        <v>4</v>
      </c>
      <c r="O543" s="4" cm="1">
        <f t="array" ref="O543">_xlfn.IFS(J543="Dell Inspiron 15",66989,J543="Lenovo IdeaPad Slim 3i",34690,J543="Mi NoteBook Ultra",57999,J543="Samsung Galaxy Go",36990,J543="Acer Aspire 3",38980)</f>
        <v>66989</v>
      </c>
      <c r="P543" t="s">
        <v>1029</v>
      </c>
    </row>
    <row r="544" spans="1:16" x14ac:dyDescent="0.25">
      <c r="A544">
        <v>12635</v>
      </c>
      <c r="B544" t="s">
        <v>264</v>
      </c>
      <c r="C544" t="s">
        <v>429</v>
      </c>
      <c r="D544" t="s">
        <v>1032</v>
      </c>
      <c r="E544" t="s">
        <v>1033</v>
      </c>
      <c r="F544" t="s">
        <v>1009</v>
      </c>
      <c r="G544" t="str">
        <f>UPPER(Table1[[#This Row],[State]])</f>
        <v>BIHAR</v>
      </c>
      <c r="H544" t="s">
        <v>1014</v>
      </c>
      <c r="I544" t="s">
        <v>841</v>
      </c>
      <c r="J544" t="s">
        <v>1024</v>
      </c>
      <c r="K544">
        <v>4649</v>
      </c>
      <c r="L544" s="1">
        <v>43833</v>
      </c>
      <c r="M544" s="1">
        <v>43840</v>
      </c>
      <c r="N544">
        <v>6</v>
      </c>
      <c r="O544" s="4" cm="1">
        <f t="array" ref="O544">_xlfn.IFS(J544="Dell Inspiron 15",66989,J544="Lenovo IdeaPad Slim 3i",34690,J544="Mi NoteBook Ultra",57999,J544="Samsung Galaxy Go",36990,J544="Acer Aspire 3",38980)</f>
        <v>57999</v>
      </c>
      <c r="P544" t="s">
        <v>1029</v>
      </c>
    </row>
    <row r="545" spans="1:16" x14ac:dyDescent="0.25">
      <c r="A545">
        <v>16673</v>
      </c>
      <c r="B545" t="s">
        <v>536</v>
      </c>
      <c r="C545" t="s">
        <v>123</v>
      </c>
      <c r="D545" t="s">
        <v>1032</v>
      </c>
      <c r="E545" t="s">
        <v>1034</v>
      </c>
      <c r="F545" t="s">
        <v>1010</v>
      </c>
      <c r="G545" t="str">
        <f>UPPER(Table1[[#This Row],[State]])</f>
        <v>PUDUCHERRY</v>
      </c>
      <c r="H545" t="s">
        <v>1015</v>
      </c>
      <c r="I545" t="s">
        <v>842</v>
      </c>
      <c r="J545" t="s">
        <v>1026</v>
      </c>
      <c r="K545">
        <v>5051</v>
      </c>
      <c r="L545" s="1">
        <v>43833</v>
      </c>
      <c r="M545" s="1">
        <v>43837</v>
      </c>
      <c r="N545">
        <v>1</v>
      </c>
      <c r="O545" s="4" cm="1">
        <f t="array" ref="O545">_xlfn.IFS(J545="Dell Inspiron 15",66989,J545="Lenovo IdeaPad Slim 3i",34690,J545="Mi NoteBook Ultra",57999,J545="Samsung Galaxy Go",36990,J545="Acer Aspire 3",38980)</f>
        <v>38980</v>
      </c>
      <c r="P545" t="s">
        <v>1029</v>
      </c>
    </row>
    <row r="546" spans="1:16" x14ac:dyDescent="0.25">
      <c r="A546">
        <v>20570</v>
      </c>
      <c r="B546" t="s">
        <v>260</v>
      </c>
      <c r="C546" t="s">
        <v>98</v>
      </c>
      <c r="D546" t="s">
        <v>1032</v>
      </c>
      <c r="E546" t="s">
        <v>1033</v>
      </c>
      <c r="F546" t="s">
        <v>1009</v>
      </c>
      <c r="G546" t="str">
        <f>UPPER(Table1[[#This Row],[State]])</f>
        <v>BIHAR</v>
      </c>
      <c r="H546" t="s">
        <v>1014</v>
      </c>
      <c r="I546" t="s">
        <v>843</v>
      </c>
      <c r="J546" t="s">
        <v>1022</v>
      </c>
      <c r="K546">
        <v>5498</v>
      </c>
      <c r="L546" s="1">
        <v>43934</v>
      </c>
      <c r="M546" s="1">
        <v>43936</v>
      </c>
      <c r="N546">
        <v>10</v>
      </c>
      <c r="O546" s="4" cm="1">
        <f t="array" ref="O546">_xlfn.IFS(J546="Dell Inspiron 15",66989,J546="Lenovo IdeaPad Slim 3i",34690,J546="Mi NoteBook Ultra",57999,J546="Samsung Galaxy Go",36990,J546="Acer Aspire 3",38980)</f>
        <v>66989</v>
      </c>
      <c r="P546" t="s">
        <v>1029</v>
      </c>
    </row>
    <row r="547" spans="1:16" x14ac:dyDescent="0.25">
      <c r="A547">
        <v>15753</v>
      </c>
      <c r="B547" t="s">
        <v>247</v>
      </c>
      <c r="C547" t="s">
        <v>347</v>
      </c>
      <c r="D547" t="s">
        <v>1032</v>
      </c>
      <c r="E547" t="s">
        <v>1035</v>
      </c>
      <c r="F547" t="s">
        <v>1011</v>
      </c>
      <c r="G547" t="str">
        <f>UPPER(Table1[[#This Row],[State]])</f>
        <v>GUJARAT</v>
      </c>
      <c r="H547" t="s">
        <v>1016</v>
      </c>
      <c r="I547" t="s">
        <v>844</v>
      </c>
      <c r="J547" t="s">
        <v>1023</v>
      </c>
      <c r="K547">
        <v>5389</v>
      </c>
      <c r="L547" s="1">
        <v>43882</v>
      </c>
      <c r="M547" s="1">
        <v>43882</v>
      </c>
      <c r="N547">
        <v>4</v>
      </c>
      <c r="O547" s="4" cm="1">
        <f t="array" ref="O547">_xlfn.IFS(J547="Dell Inspiron 15",66989,J547="Lenovo IdeaPad Slim 3i",34690,J547="Mi NoteBook Ultra",57999,J547="Samsung Galaxy Go",36990,J547="Acer Aspire 3",38980)</f>
        <v>34690</v>
      </c>
      <c r="P547" t="s">
        <v>1029</v>
      </c>
    </row>
    <row r="548" spans="1:16" x14ac:dyDescent="0.25">
      <c r="A548">
        <v>14562</v>
      </c>
      <c r="B548" t="s">
        <v>76</v>
      </c>
      <c r="C548" t="s">
        <v>374</v>
      </c>
      <c r="D548" t="s">
        <v>1032</v>
      </c>
      <c r="E548" t="s">
        <v>1035</v>
      </c>
      <c r="F548" t="s">
        <v>1011</v>
      </c>
      <c r="G548" t="str">
        <f>UPPER(Table1[[#This Row],[State]])</f>
        <v>GUJARAT</v>
      </c>
      <c r="H548" t="s">
        <v>1016</v>
      </c>
      <c r="I548" t="s">
        <v>845</v>
      </c>
      <c r="J548" t="s">
        <v>1022</v>
      </c>
      <c r="K548">
        <v>5398</v>
      </c>
      <c r="L548" s="1">
        <v>43973</v>
      </c>
      <c r="M548" s="1">
        <v>43974</v>
      </c>
      <c r="N548">
        <v>1</v>
      </c>
      <c r="O548" s="4" cm="1">
        <f t="array" ref="O548">_xlfn.IFS(J548="Dell Inspiron 15",66989,J548="Lenovo IdeaPad Slim 3i",34690,J548="Mi NoteBook Ultra",57999,J548="Samsung Galaxy Go",36990,J548="Acer Aspire 3",38980)</f>
        <v>66989</v>
      </c>
      <c r="P548" t="s">
        <v>1029</v>
      </c>
    </row>
    <row r="549" spans="1:16" x14ac:dyDescent="0.25">
      <c r="A549">
        <v>21554</v>
      </c>
      <c r="B549" t="s">
        <v>364</v>
      </c>
      <c r="C549" t="s">
        <v>123</v>
      </c>
      <c r="D549" t="s">
        <v>1032</v>
      </c>
      <c r="E549" t="s">
        <v>1035</v>
      </c>
      <c r="F549" t="s">
        <v>1011</v>
      </c>
      <c r="G549" t="str">
        <f>UPPER(Table1[[#This Row],[State]])</f>
        <v>GUJARAT</v>
      </c>
      <c r="H549" t="s">
        <v>1016</v>
      </c>
      <c r="I549" t="s">
        <v>846</v>
      </c>
      <c r="J549" t="s">
        <v>1023</v>
      </c>
      <c r="K549">
        <v>5511</v>
      </c>
      <c r="L549" s="1">
        <v>43882</v>
      </c>
      <c r="M549" s="1">
        <v>43882</v>
      </c>
      <c r="N549">
        <v>8</v>
      </c>
      <c r="O549" s="4" cm="1">
        <f t="array" ref="O549">_xlfn.IFS(J549="Dell Inspiron 15",66989,J549="Lenovo IdeaPad Slim 3i",34690,J549="Mi NoteBook Ultra",57999,J549="Samsung Galaxy Go",36990,J549="Acer Aspire 3",38980)</f>
        <v>34690</v>
      </c>
      <c r="P549" t="s">
        <v>1029</v>
      </c>
    </row>
    <row r="550" spans="1:16" x14ac:dyDescent="0.25">
      <c r="A550">
        <v>23965</v>
      </c>
      <c r="B550" t="s">
        <v>847</v>
      </c>
      <c r="C550" t="s">
        <v>107</v>
      </c>
      <c r="D550" t="s">
        <v>1032</v>
      </c>
      <c r="E550" t="s">
        <v>1035</v>
      </c>
      <c r="F550" t="s">
        <v>1011</v>
      </c>
      <c r="G550" t="str">
        <f>UPPER(Table1[[#This Row],[State]])</f>
        <v>GUJARAT</v>
      </c>
      <c r="H550" t="s">
        <v>1016</v>
      </c>
      <c r="I550" t="s">
        <v>848</v>
      </c>
      <c r="J550" t="s">
        <v>1024</v>
      </c>
      <c r="K550">
        <v>5516</v>
      </c>
      <c r="L550" s="1">
        <v>43973</v>
      </c>
      <c r="M550" s="1">
        <v>43973</v>
      </c>
      <c r="N550">
        <v>8</v>
      </c>
      <c r="O550" s="4" cm="1">
        <f t="array" ref="O550">_xlfn.IFS(J550="Dell Inspiron 15",66989,J550="Lenovo IdeaPad Slim 3i",34690,J550="Mi NoteBook Ultra",57999,J550="Samsung Galaxy Go",36990,J550="Acer Aspire 3",38980)</f>
        <v>57999</v>
      </c>
      <c r="P550" t="s">
        <v>1029</v>
      </c>
    </row>
    <row r="551" spans="1:16" x14ac:dyDescent="0.25">
      <c r="A551">
        <v>12632</v>
      </c>
      <c r="B551" t="s">
        <v>185</v>
      </c>
      <c r="C551" t="s">
        <v>849</v>
      </c>
      <c r="D551" t="s">
        <v>1032</v>
      </c>
      <c r="E551" t="s">
        <v>1036</v>
      </c>
      <c r="F551" t="s">
        <v>1012</v>
      </c>
      <c r="G551" t="str">
        <f>UPPER(Table1[[#This Row],[State]])</f>
        <v>DELHI</v>
      </c>
      <c r="H551" t="s">
        <v>1017</v>
      </c>
      <c r="I551" t="s">
        <v>850</v>
      </c>
      <c r="J551" t="s">
        <v>1025</v>
      </c>
      <c r="K551">
        <v>5050</v>
      </c>
      <c r="L551" s="1">
        <v>43973</v>
      </c>
      <c r="M551" s="1">
        <v>43974</v>
      </c>
      <c r="N551">
        <v>1</v>
      </c>
      <c r="O551" s="4" cm="1">
        <f t="array" ref="O551">_xlfn.IFS(J551="Dell Inspiron 15",66989,J551="Lenovo IdeaPad Slim 3i",34690,J551="Mi NoteBook Ultra",57999,J551="Samsung Galaxy Go",36990,J551="Acer Aspire 3",38980)</f>
        <v>36990</v>
      </c>
      <c r="P551" t="s">
        <v>1029</v>
      </c>
    </row>
    <row r="552" spans="1:16" x14ac:dyDescent="0.25">
      <c r="A552">
        <v>22789</v>
      </c>
      <c r="B552" t="s">
        <v>82</v>
      </c>
      <c r="C552" t="s">
        <v>468</v>
      </c>
      <c r="D552" t="s">
        <v>1032</v>
      </c>
      <c r="E552" t="s">
        <v>1033</v>
      </c>
      <c r="F552" t="s">
        <v>1009</v>
      </c>
      <c r="G552" t="str">
        <f>UPPER(Table1[[#This Row],[State]])</f>
        <v>BIHAR</v>
      </c>
      <c r="H552" t="s">
        <v>1014</v>
      </c>
      <c r="I552" t="s">
        <v>851</v>
      </c>
      <c r="J552" t="s">
        <v>1026</v>
      </c>
      <c r="K552">
        <v>4945</v>
      </c>
      <c r="L552" s="1">
        <v>43873</v>
      </c>
      <c r="M552" s="1">
        <v>43874</v>
      </c>
      <c r="N552">
        <v>4</v>
      </c>
      <c r="O552" s="4" cm="1">
        <f t="array" ref="O552">_xlfn.IFS(J552="Dell Inspiron 15",66989,J552="Lenovo IdeaPad Slim 3i",34690,J552="Mi NoteBook Ultra",57999,J552="Samsung Galaxy Go",36990,J552="Acer Aspire 3",38980)</f>
        <v>38980</v>
      </c>
      <c r="P552" t="s">
        <v>1029</v>
      </c>
    </row>
    <row r="553" spans="1:16" x14ac:dyDescent="0.25">
      <c r="A553">
        <v>24622</v>
      </c>
      <c r="B553" t="s">
        <v>147</v>
      </c>
      <c r="C553" t="s">
        <v>141</v>
      </c>
      <c r="D553" t="s">
        <v>1032</v>
      </c>
      <c r="E553" t="s">
        <v>1034</v>
      </c>
      <c r="F553" t="s">
        <v>1010</v>
      </c>
      <c r="G553" t="str">
        <f>UPPER(Table1[[#This Row],[State]])</f>
        <v>PUDUCHERRY</v>
      </c>
      <c r="H553" t="s">
        <v>1015</v>
      </c>
      <c r="I553" t="s">
        <v>852</v>
      </c>
      <c r="J553" t="s">
        <v>1022</v>
      </c>
      <c r="K553">
        <v>5029</v>
      </c>
      <c r="L553" s="1">
        <v>43873</v>
      </c>
      <c r="M553" s="1">
        <v>43876</v>
      </c>
      <c r="N553">
        <v>1</v>
      </c>
      <c r="O553" s="4" cm="1">
        <f t="array" ref="O553">_xlfn.IFS(J553="Dell Inspiron 15",66989,J553="Lenovo IdeaPad Slim 3i",34690,J553="Mi NoteBook Ultra",57999,J553="Samsung Galaxy Go",36990,J553="Acer Aspire 3",38980)</f>
        <v>66989</v>
      </c>
      <c r="P553" t="s">
        <v>1029</v>
      </c>
    </row>
    <row r="554" spans="1:16" x14ac:dyDescent="0.25">
      <c r="A554">
        <v>15205</v>
      </c>
      <c r="B554" t="s">
        <v>847</v>
      </c>
      <c r="C554" t="s">
        <v>512</v>
      </c>
      <c r="D554" t="s">
        <v>1032</v>
      </c>
      <c r="E554" t="s">
        <v>1033</v>
      </c>
      <c r="F554" t="s">
        <v>1009</v>
      </c>
      <c r="G554" t="str">
        <f>UPPER(Table1[[#This Row],[State]])</f>
        <v>BIHAR</v>
      </c>
      <c r="H554" t="s">
        <v>1014</v>
      </c>
      <c r="I554" t="s">
        <v>853</v>
      </c>
      <c r="J554" t="s">
        <v>1024</v>
      </c>
      <c r="K554">
        <v>5344</v>
      </c>
      <c r="L554" s="1">
        <v>43930</v>
      </c>
      <c r="M554" s="1">
        <v>43932</v>
      </c>
      <c r="N554">
        <v>2</v>
      </c>
      <c r="O554" s="4" cm="1">
        <f t="array" ref="O554">_xlfn.IFS(J554="Dell Inspiron 15",66989,J554="Lenovo IdeaPad Slim 3i",34690,J554="Mi NoteBook Ultra",57999,J554="Samsung Galaxy Go",36990,J554="Acer Aspire 3",38980)</f>
        <v>57999</v>
      </c>
      <c r="P554" t="s">
        <v>1029</v>
      </c>
    </row>
    <row r="555" spans="1:16" x14ac:dyDescent="0.25">
      <c r="A555">
        <v>23895</v>
      </c>
      <c r="B555" t="s">
        <v>5</v>
      </c>
      <c r="C555" t="s">
        <v>183</v>
      </c>
      <c r="D555" t="s">
        <v>1032</v>
      </c>
      <c r="E555" t="s">
        <v>1035</v>
      </c>
      <c r="F555" t="s">
        <v>1011</v>
      </c>
      <c r="G555" t="str">
        <f>UPPER(Table1[[#This Row],[State]])</f>
        <v>GUJARAT</v>
      </c>
      <c r="H555" t="s">
        <v>1016</v>
      </c>
      <c r="I555" t="s">
        <v>854</v>
      </c>
      <c r="J555" t="s">
        <v>1026</v>
      </c>
      <c r="K555">
        <v>4657</v>
      </c>
      <c r="L555" s="1">
        <v>43930</v>
      </c>
      <c r="M555" s="1">
        <v>43930</v>
      </c>
      <c r="N555">
        <v>3</v>
      </c>
      <c r="O555" s="4" cm="1">
        <f t="array" ref="O555">_xlfn.IFS(J555="Dell Inspiron 15",66989,J555="Lenovo IdeaPad Slim 3i",34690,J555="Mi NoteBook Ultra",57999,J555="Samsung Galaxy Go",36990,J555="Acer Aspire 3",38980)</f>
        <v>38980</v>
      </c>
      <c r="P555" t="s">
        <v>1029</v>
      </c>
    </row>
    <row r="556" spans="1:16" x14ac:dyDescent="0.25">
      <c r="A556">
        <v>21302</v>
      </c>
      <c r="B556" t="s">
        <v>5</v>
      </c>
      <c r="C556" t="s">
        <v>300</v>
      </c>
      <c r="D556" t="s">
        <v>1032</v>
      </c>
      <c r="E556" t="s">
        <v>1035</v>
      </c>
      <c r="F556" t="s">
        <v>1011</v>
      </c>
      <c r="G556" t="str">
        <f>UPPER(Table1[[#This Row],[State]])</f>
        <v>GUJARAT</v>
      </c>
      <c r="H556" t="s">
        <v>1016</v>
      </c>
      <c r="I556" t="s">
        <v>855</v>
      </c>
      <c r="J556" t="s">
        <v>1022</v>
      </c>
      <c r="K556">
        <v>4593</v>
      </c>
      <c r="L556" s="1">
        <v>43930</v>
      </c>
      <c r="M556" s="1">
        <v>43931</v>
      </c>
      <c r="N556">
        <v>3</v>
      </c>
      <c r="O556" s="4" cm="1">
        <f t="array" ref="O556">_xlfn.IFS(J556="Dell Inspiron 15",66989,J556="Lenovo IdeaPad Slim 3i",34690,J556="Mi NoteBook Ultra",57999,J556="Samsung Galaxy Go",36990,J556="Acer Aspire 3",38980)</f>
        <v>66989</v>
      </c>
      <c r="P556" t="s">
        <v>1029</v>
      </c>
    </row>
    <row r="557" spans="1:16" x14ac:dyDescent="0.25">
      <c r="A557">
        <v>15081</v>
      </c>
      <c r="B557" t="s">
        <v>130</v>
      </c>
      <c r="C557" t="s">
        <v>90</v>
      </c>
      <c r="D557" t="s">
        <v>1032</v>
      </c>
      <c r="E557" t="s">
        <v>1036</v>
      </c>
      <c r="F557" t="s">
        <v>1012</v>
      </c>
      <c r="G557" t="str">
        <f>UPPER(Table1[[#This Row],[State]])</f>
        <v>DELHI</v>
      </c>
      <c r="H557" t="s">
        <v>1017</v>
      </c>
      <c r="I557" t="s">
        <v>856</v>
      </c>
      <c r="J557" t="s">
        <v>1023</v>
      </c>
      <c r="K557">
        <v>5222</v>
      </c>
      <c r="L557" s="1">
        <v>43833</v>
      </c>
      <c r="M557" s="1">
        <v>43835</v>
      </c>
      <c r="N557">
        <v>6</v>
      </c>
      <c r="O557" s="4" cm="1">
        <f t="array" ref="O557">_xlfn.IFS(J557="Dell Inspiron 15",66989,J557="Lenovo IdeaPad Slim 3i",34690,J557="Mi NoteBook Ultra",57999,J557="Samsung Galaxy Go",36990,J557="Acer Aspire 3",38980)</f>
        <v>34690</v>
      </c>
      <c r="P557" t="s">
        <v>1029</v>
      </c>
    </row>
    <row r="558" spans="1:16" x14ac:dyDescent="0.25">
      <c r="A558">
        <v>21533</v>
      </c>
      <c r="B558" t="s">
        <v>670</v>
      </c>
      <c r="C558" t="s">
        <v>349</v>
      </c>
      <c r="D558" t="s">
        <v>1032</v>
      </c>
      <c r="E558" t="s">
        <v>1033</v>
      </c>
      <c r="F558" t="s">
        <v>1009</v>
      </c>
      <c r="G558" t="str">
        <f>UPPER(Table1[[#This Row],[State]])</f>
        <v>BIHAR</v>
      </c>
      <c r="H558" t="s">
        <v>1014</v>
      </c>
      <c r="I558" t="s">
        <v>857</v>
      </c>
      <c r="J558" t="s">
        <v>1025</v>
      </c>
      <c r="K558">
        <v>4830</v>
      </c>
      <c r="L558" s="1">
        <v>43920</v>
      </c>
      <c r="M558" s="1">
        <v>43922</v>
      </c>
      <c r="N558">
        <v>10</v>
      </c>
      <c r="O558" s="4" cm="1">
        <f t="array" ref="O558">_xlfn.IFS(J558="Dell Inspiron 15",66989,J558="Lenovo IdeaPad Slim 3i",34690,J558="Mi NoteBook Ultra",57999,J558="Samsung Galaxy Go",36990,J558="Acer Aspire 3",38980)</f>
        <v>36990</v>
      </c>
      <c r="P558" t="s">
        <v>1029</v>
      </c>
    </row>
    <row r="559" spans="1:16" x14ac:dyDescent="0.25">
      <c r="A559">
        <v>13184</v>
      </c>
      <c r="B559" t="s">
        <v>239</v>
      </c>
      <c r="C559" t="s">
        <v>425</v>
      </c>
      <c r="D559" t="s">
        <v>1032</v>
      </c>
      <c r="E559" t="s">
        <v>1034</v>
      </c>
      <c r="F559" t="s">
        <v>1010</v>
      </c>
      <c r="G559" t="str">
        <f>UPPER(Table1[[#This Row],[State]])</f>
        <v>PUDUCHERRY</v>
      </c>
      <c r="H559" t="s">
        <v>1015</v>
      </c>
      <c r="I559" t="s">
        <v>858</v>
      </c>
      <c r="J559" t="s">
        <v>1022</v>
      </c>
      <c r="K559">
        <v>5363</v>
      </c>
      <c r="L559" s="1">
        <v>43840</v>
      </c>
      <c r="M559" s="1">
        <v>43841</v>
      </c>
      <c r="N559">
        <v>6</v>
      </c>
      <c r="O559" s="4" cm="1">
        <f t="array" ref="O559">_xlfn.IFS(J559="Dell Inspiron 15",66989,J559="Lenovo IdeaPad Slim 3i",34690,J559="Mi NoteBook Ultra",57999,J559="Samsung Galaxy Go",36990,J559="Acer Aspire 3",38980)</f>
        <v>66989</v>
      </c>
      <c r="P559" t="s">
        <v>1029</v>
      </c>
    </row>
    <row r="560" spans="1:16" x14ac:dyDescent="0.25">
      <c r="A560">
        <v>20429</v>
      </c>
      <c r="B560" t="s">
        <v>313</v>
      </c>
      <c r="C560" t="s">
        <v>123</v>
      </c>
      <c r="D560" t="s">
        <v>1032</v>
      </c>
      <c r="E560" t="s">
        <v>1033</v>
      </c>
      <c r="F560" t="s">
        <v>1009</v>
      </c>
      <c r="G560" t="str">
        <f>UPPER(Table1[[#This Row],[State]])</f>
        <v>BIHAR</v>
      </c>
      <c r="H560" t="s">
        <v>1014</v>
      </c>
      <c r="I560" t="s">
        <v>859</v>
      </c>
      <c r="J560" t="s">
        <v>1026</v>
      </c>
      <c r="K560">
        <v>4978</v>
      </c>
      <c r="L560" s="1">
        <v>43920</v>
      </c>
      <c r="M560" s="1">
        <v>43922</v>
      </c>
      <c r="N560">
        <v>8</v>
      </c>
      <c r="O560" s="4" cm="1">
        <f t="array" ref="O560">_xlfn.IFS(J560="Dell Inspiron 15",66989,J560="Lenovo IdeaPad Slim 3i",34690,J560="Mi NoteBook Ultra",57999,J560="Samsung Galaxy Go",36990,J560="Acer Aspire 3",38980)</f>
        <v>38980</v>
      </c>
      <c r="P560" t="s">
        <v>1029</v>
      </c>
    </row>
    <row r="561" spans="1:16" x14ac:dyDescent="0.25">
      <c r="A561">
        <v>23700</v>
      </c>
      <c r="B561" t="s">
        <v>476</v>
      </c>
      <c r="C561" t="s">
        <v>167</v>
      </c>
      <c r="D561" t="s">
        <v>1032</v>
      </c>
      <c r="E561" t="s">
        <v>1035</v>
      </c>
      <c r="F561" t="s">
        <v>1011</v>
      </c>
      <c r="G561" t="str">
        <f>UPPER(Table1[[#This Row],[State]])</f>
        <v>GUJARAT</v>
      </c>
      <c r="H561" t="s">
        <v>1016</v>
      </c>
      <c r="I561" t="s">
        <v>860</v>
      </c>
      <c r="J561" t="s">
        <v>1024</v>
      </c>
      <c r="K561">
        <v>4739</v>
      </c>
      <c r="L561" s="1">
        <v>43923</v>
      </c>
      <c r="M561" s="1">
        <v>43925</v>
      </c>
      <c r="N561">
        <v>2</v>
      </c>
      <c r="O561" s="4" cm="1">
        <f t="array" ref="O561">_xlfn.IFS(J561="Dell Inspiron 15",66989,J561="Lenovo IdeaPad Slim 3i",34690,J561="Mi NoteBook Ultra",57999,J561="Samsung Galaxy Go",36990,J561="Acer Aspire 3",38980)</f>
        <v>57999</v>
      </c>
      <c r="P561" t="s">
        <v>1029</v>
      </c>
    </row>
    <row r="562" spans="1:16" x14ac:dyDescent="0.25">
      <c r="A562">
        <v>13461</v>
      </c>
      <c r="B562" t="s">
        <v>389</v>
      </c>
      <c r="C562" t="s">
        <v>664</v>
      </c>
      <c r="D562" t="s">
        <v>1032</v>
      </c>
      <c r="E562" t="s">
        <v>1035</v>
      </c>
      <c r="F562" t="s">
        <v>1011</v>
      </c>
      <c r="G562" t="str">
        <f>UPPER(Table1[[#This Row],[State]])</f>
        <v>GUJARAT</v>
      </c>
      <c r="H562" t="s">
        <v>1016</v>
      </c>
      <c r="I562" t="s">
        <v>861</v>
      </c>
      <c r="J562" t="s">
        <v>1025</v>
      </c>
      <c r="K562">
        <v>5357</v>
      </c>
      <c r="L562" s="1">
        <v>43923</v>
      </c>
      <c r="M562" s="1">
        <v>43925</v>
      </c>
      <c r="N562">
        <v>10</v>
      </c>
      <c r="O562" s="4" cm="1">
        <f t="array" ref="O562">_xlfn.IFS(J562="Dell Inspiron 15",66989,J562="Lenovo IdeaPad Slim 3i",34690,J562="Mi NoteBook Ultra",57999,J562="Samsung Galaxy Go",36990,J562="Acer Aspire 3",38980)</f>
        <v>36990</v>
      </c>
      <c r="P562" t="s">
        <v>1029</v>
      </c>
    </row>
    <row r="563" spans="1:16" x14ac:dyDescent="0.25">
      <c r="A563">
        <v>16857</v>
      </c>
      <c r="B563" t="s">
        <v>172</v>
      </c>
      <c r="C563" t="s">
        <v>125</v>
      </c>
      <c r="D563" t="s">
        <v>1032</v>
      </c>
      <c r="E563" t="s">
        <v>1035</v>
      </c>
      <c r="F563" t="s">
        <v>1011</v>
      </c>
      <c r="G563" t="str">
        <f>UPPER(Table1[[#This Row],[State]])</f>
        <v>GUJARAT</v>
      </c>
      <c r="H563" t="s">
        <v>1016</v>
      </c>
      <c r="I563" t="s">
        <v>862</v>
      </c>
      <c r="J563" t="s">
        <v>1026</v>
      </c>
      <c r="K563">
        <v>5426</v>
      </c>
      <c r="L563" s="1">
        <v>43948</v>
      </c>
      <c r="M563" s="1">
        <v>43949</v>
      </c>
      <c r="N563">
        <v>4</v>
      </c>
      <c r="O563" s="4" cm="1">
        <f t="array" ref="O563">_xlfn.IFS(J563="Dell Inspiron 15",66989,J563="Lenovo IdeaPad Slim 3i",34690,J563="Mi NoteBook Ultra",57999,J563="Samsung Galaxy Go",36990,J563="Acer Aspire 3",38980)</f>
        <v>38980</v>
      </c>
      <c r="P563" t="s">
        <v>1029</v>
      </c>
    </row>
    <row r="564" spans="1:16" x14ac:dyDescent="0.25">
      <c r="A564">
        <v>17001</v>
      </c>
      <c r="B564" t="s">
        <v>473</v>
      </c>
      <c r="C564" t="s">
        <v>300</v>
      </c>
      <c r="D564" t="s">
        <v>1032</v>
      </c>
      <c r="E564" t="s">
        <v>1035</v>
      </c>
      <c r="F564" t="s">
        <v>1011</v>
      </c>
      <c r="G564" t="str">
        <f>UPPER(Table1[[#This Row],[State]])</f>
        <v>GUJARAT</v>
      </c>
      <c r="H564" t="s">
        <v>1016</v>
      </c>
      <c r="I564" t="s">
        <v>863</v>
      </c>
      <c r="J564" t="s">
        <v>1022</v>
      </c>
      <c r="K564">
        <v>4855</v>
      </c>
      <c r="L564" s="1">
        <v>43846</v>
      </c>
      <c r="M564" s="1">
        <v>43848</v>
      </c>
      <c r="N564">
        <v>1</v>
      </c>
      <c r="O564" s="4" cm="1">
        <f t="array" ref="O564">_xlfn.IFS(J564="Dell Inspiron 15",66989,J564="Lenovo IdeaPad Slim 3i",34690,J564="Mi NoteBook Ultra",57999,J564="Samsung Galaxy Go",36990,J564="Acer Aspire 3",38980)</f>
        <v>66989</v>
      </c>
      <c r="P564" t="s">
        <v>1029</v>
      </c>
    </row>
    <row r="565" spans="1:16" x14ac:dyDescent="0.25">
      <c r="A565">
        <v>19549</v>
      </c>
      <c r="B565" t="s">
        <v>404</v>
      </c>
      <c r="C565" t="s">
        <v>44</v>
      </c>
      <c r="D565" t="s">
        <v>1032</v>
      </c>
      <c r="E565" t="s">
        <v>1036</v>
      </c>
      <c r="F565" t="s">
        <v>1012</v>
      </c>
      <c r="G565" t="str">
        <f>UPPER(Table1[[#This Row],[State]])</f>
        <v>DELHI</v>
      </c>
      <c r="H565" t="s">
        <v>1017</v>
      </c>
      <c r="I565" t="s">
        <v>864</v>
      </c>
      <c r="J565" t="s">
        <v>1024</v>
      </c>
      <c r="K565">
        <v>4700</v>
      </c>
      <c r="L565" s="1">
        <v>43847</v>
      </c>
      <c r="M565" s="1">
        <v>43851</v>
      </c>
      <c r="N565">
        <v>10</v>
      </c>
      <c r="O565" s="4" cm="1">
        <f t="array" ref="O565">_xlfn.IFS(J565="Dell Inspiron 15",66989,J565="Lenovo IdeaPad Slim 3i",34690,J565="Mi NoteBook Ultra",57999,J565="Samsung Galaxy Go",36990,J565="Acer Aspire 3",38980)</f>
        <v>57999</v>
      </c>
      <c r="P565" t="s">
        <v>1029</v>
      </c>
    </row>
    <row r="566" spans="1:16" x14ac:dyDescent="0.25">
      <c r="A566">
        <v>19239</v>
      </c>
      <c r="B566" t="s">
        <v>247</v>
      </c>
      <c r="C566" t="s">
        <v>191</v>
      </c>
      <c r="D566" t="s">
        <v>1032</v>
      </c>
      <c r="E566" t="s">
        <v>1033</v>
      </c>
      <c r="F566" t="s">
        <v>1009</v>
      </c>
      <c r="G566" t="str">
        <f>UPPER(Table1[[#This Row],[State]])</f>
        <v>BIHAR</v>
      </c>
      <c r="H566" t="s">
        <v>1014</v>
      </c>
      <c r="I566" t="s">
        <v>865</v>
      </c>
      <c r="J566" t="s">
        <v>1026</v>
      </c>
      <c r="K566">
        <v>5422</v>
      </c>
      <c r="L566" s="1">
        <v>43984</v>
      </c>
      <c r="M566" s="1">
        <v>43984</v>
      </c>
      <c r="N566">
        <v>2</v>
      </c>
      <c r="O566" s="4" cm="1">
        <f t="array" ref="O566">_xlfn.IFS(J566="Dell Inspiron 15",66989,J566="Lenovo IdeaPad Slim 3i",34690,J566="Mi NoteBook Ultra",57999,J566="Samsung Galaxy Go",36990,J566="Acer Aspire 3",38980)</f>
        <v>38980</v>
      </c>
      <c r="P566" t="s">
        <v>1029</v>
      </c>
    </row>
    <row r="567" spans="1:16" x14ac:dyDescent="0.25">
      <c r="A567">
        <v>20271</v>
      </c>
      <c r="B567" t="s">
        <v>410</v>
      </c>
      <c r="C567" t="s">
        <v>14</v>
      </c>
      <c r="D567" t="s">
        <v>1032</v>
      </c>
      <c r="E567" t="s">
        <v>1034</v>
      </c>
      <c r="F567" t="s">
        <v>1010</v>
      </c>
      <c r="G567" t="str">
        <f>UPPER(Table1[[#This Row],[State]])</f>
        <v>PUDUCHERRY</v>
      </c>
      <c r="H567" t="s">
        <v>1015</v>
      </c>
      <c r="I567" t="s">
        <v>866</v>
      </c>
      <c r="J567" t="s">
        <v>1022</v>
      </c>
      <c r="K567">
        <v>5486</v>
      </c>
      <c r="L567" s="1">
        <v>43984</v>
      </c>
      <c r="M567" s="1">
        <v>43984</v>
      </c>
      <c r="N567">
        <v>7</v>
      </c>
      <c r="O567" s="4" cm="1">
        <f t="array" ref="O567">_xlfn.IFS(J567="Dell Inspiron 15",66989,J567="Lenovo IdeaPad Slim 3i",34690,J567="Mi NoteBook Ultra",57999,J567="Samsung Galaxy Go",36990,J567="Acer Aspire 3",38980)</f>
        <v>66989</v>
      </c>
      <c r="P567" t="s">
        <v>1029</v>
      </c>
    </row>
    <row r="568" spans="1:16" x14ac:dyDescent="0.25">
      <c r="A568">
        <v>24004</v>
      </c>
      <c r="B568" t="s">
        <v>222</v>
      </c>
      <c r="C568" t="s">
        <v>384</v>
      </c>
      <c r="D568" t="s">
        <v>1032</v>
      </c>
      <c r="E568" t="s">
        <v>1033</v>
      </c>
      <c r="F568" t="s">
        <v>1009</v>
      </c>
      <c r="G568" t="str">
        <f>UPPER(Table1[[#This Row],[State]])</f>
        <v>BIHAR</v>
      </c>
      <c r="H568" t="s">
        <v>1014</v>
      </c>
      <c r="I568" t="s">
        <v>867</v>
      </c>
      <c r="J568" t="s">
        <v>1023</v>
      </c>
      <c r="K568">
        <v>5028</v>
      </c>
      <c r="L568" s="1">
        <v>43963</v>
      </c>
      <c r="M568" s="1">
        <v>43964</v>
      </c>
      <c r="N568">
        <v>1</v>
      </c>
      <c r="O568" s="4" cm="1">
        <f t="array" ref="O568">_xlfn.IFS(J568="Dell Inspiron 15",66989,J568="Lenovo IdeaPad Slim 3i",34690,J568="Mi NoteBook Ultra",57999,J568="Samsung Galaxy Go",36990,J568="Acer Aspire 3",38980)</f>
        <v>34690</v>
      </c>
      <c r="P568" t="s">
        <v>1029</v>
      </c>
    </row>
    <row r="569" spans="1:16" x14ac:dyDescent="0.25">
      <c r="A569">
        <v>14473</v>
      </c>
      <c r="B569" t="s">
        <v>376</v>
      </c>
      <c r="C569" t="s">
        <v>23</v>
      </c>
      <c r="D569" t="s">
        <v>1032</v>
      </c>
      <c r="E569" t="s">
        <v>1035</v>
      </c>
      <c r="F569" t="s">
        <v>1011</v>
      </c>
      <c r="G569" t="str">
        <f>UPPER(Table1[[#This Row],[State]])</f>
        <v>GUJARAT</v>
      </c>
      <c r="H569" t="s">
        <v>1016</v>
      </c>
      <c r="I569" t="s">
        <v>868</v>
      </c>
      <c r="J569" t="s">
        <v>1024</v>
      </c>
      <c r="K569">
        <v>5147</v>
      </c>
      <c r="L569" s="1">
        <v>43929</v>
      </c>
      <c r="M569" s="1">
        <v>43930</v>
      </c>
      <c r="N569">
        <v>4</v>
      </c>
      <c r="O569" s="4" cm="1">
        <f t="array" ref="O569">_xlfn.IFS(J569="Dell Inspiron 15",66989,J569="Lenovo IdeaPad Slim 3i",34690,J569="Mi NoteBook Ultra",57999,J569="Samsung Galaxy Go",36990,J569="Acer Aspire 3",38980)</f>
        <v>57999</v>
      </c>
      <c r="P569" t="s">
        <v>1029</v>
      </c>
    </row>
    <row r="570" spans="1:16" x14ac:dyDescent="0.25">
      <c r="A570">
        <v>17625</v>
      </c>
      <c r="B570" t="s">
        <v>333</v>
      </c>
      <c r="C570" t="s">
        <v>437</v>
      </c>
      <c r="D570" t="s">
        <v>1032</v>
      </c>
      <c r="E570" t="s">
        <v>1035</v>
      </c>
      <c r="F570" t="s">
        <v>1011</v>
      </c>
      <c r="G570" t="str">
        <f>UPPER(Table1[[#This Row],[State]])</f>
        <v>GUJARAT</v>
      </c>
      <c r="H570" t="s">
        <v>1016</v>
      </c>
      <c r="I570" t="s">
        <v>869</v>
      </c>
      <c r="J570" t="s">
        <v>1025</v>
      </c>
      <c r="K570">
        <v>4891</v>
      </c>
      <c r="L570" s="1">
        <v>43979</v>
      </c>
      <c r="M570" s="1">
        <v>43979</v>
      </c>
      <c r="N570">
        <v>6</v>
      </c>
      <c r="O570" s="4" cm="1">
        <f t="array" ref="O570">_xlfn.IFS(J570="Dell Inspiron 15",66989,J570="Lenovo IdeaPad Slim 3i",34690,J570="Mi NoteBook Ultra",57999,J570="Samsung Galaxy Go",36990,J570="Acer Aspire 3",38980)</f>
        <v>36990</v>
      </c>
      <c r="P570" t="s">
        <v>1029</v>
      </c>
    </row>
    <row r="571" spans="1:16" x14ac:dyDescent="0.25">
      <c r="A571">
        <v>16631</v>
      </c>
      <c r="B571" t="s">
        <v>204</v>
      </c>
      <c r="C571" t="s">
        <v>646</v>
      </c>
      <c r="D571" t="s">
        <v>1032</v>
      </c>
      <c r="E571" t="s">
        <v>1035</v>
      </c>
      <c r="F571" t="s">
        <v>1011</v>
      </c>
      <c r="G571" t="str">
        <f>UPPER(Table1[[#This Row],[State]])</f>
        <v>GUJARAT</v>
      </c>
      <c r="H571" t="s">
        <v>1016</v>
      </c>
      <c r="I571" t="s">
        <v>870</v>
      </c>
      <c r="J571" t="s">
        <v>1026</v>
      </c>
      <c r="K571">
        <v>4750</v>
      </c>
      <c r="L571" s="1">
        <v>43873</v>
      </c>
      <c r="M571" s="1">
        <v>43876</v>
      </c>
      <c r="N571">
        <v>5</v>
      </c>
      <c r="O571" s="4" cm="1">
        <f t="array" ref="O571">_xlfn.IFS(J571="Dell Inspiron 15",66989,J571="Lenovo IdeaPad Slim 3i",34690,J571="Mi NoteBook Ultra",57999,J571="Samsung Galaxy Go",36990,J571="Acer Aspire 3",38980)</f>
        <v>38980</v>
      </c>
      <c r="P571" t="s">
        <v>1029</v>
      </c>
    </row>
    <row r="572" spans="1:16" x14ac:dyDescent="0.25">
      <c r="A572">
        <v>23556</v>
      </c>
      <c r="B572" t="s">
        <v>226</v>
      </c>
      <c r="C572" t="s">
        <v>110</v>
      </c>
      <c r="D572" t="s">
        <v>1032</v>
      </c>
      <c r="E572" t="s">
        <v>1036</v>
      </c>
      <c r="F572" t="s">
        <v>1012</v>
      </c>
      <c r="G572" t="str">
        <f>UPPER(Table1[[#This Row],[State]])</f>
        <v>DELHI</v>
      </c>
      <c r="H572" t="s">
        <v>1017</v>
      </c>
      <c r="I572" t="s">
        <v>871</v>
      </c>
      <c r="J572" t="s">
        <v>1022</v>
      </c>
      <c r="K572">
        <v>5109</v>
      </c>
      <c r="L572" s="1">
        <v>43873</v>
      </c>
      <c r="M572" s="1">
        <v>43875</v>
      </c>
      <c r="N572">
        <v>7</v>
      </c>
      <c r="O572" s="4" cm="1">
        <f t="array" ref="O572">_xlfn.IFS(J572="Dell Inspiron 15",66989,J572="Lenovo IdeaPad Slim 3i",34690,J572="Mi NoteBook Ultra",57999,J572="Samsung Galaxy Go",36990,J572="Acer Aspire 3",38980)</f>
        <v>66989</v>
      </c>
      <c r="P572" t="s">
        <v>1029</v>
      </c>
    </row>
    <row r="573" spans="1:16" x14ac:dyDescent="0.25">
      <c r="A573">
        <v>13466</v>
      </c>
      <c r="B573" t="s">
        <v>308</v>
      </c>
      <c r="C573" t="s">
        <v>26</v>
      </c>
      <c r="D573" t="s">
        <v>1032</v>
      </c>
      <c r="E573" t="s">
        <v>1035</v>
      </c>
      <c r="F573" t="s">
        <v>1011</v>
      </c>
      <c r="G573" t="str">
        <f>UPPER(Table1[[#This Row],[State]])</f>
        <v>GUJARAT</v>
      </c>
      <c r="H573" t="s">
        <v>1016</v>
      </c>
      <c r="I573" t="s">
        <v>872</v>
      </c>
      <c r="J573" t="s">
        <v>1024</v>
      </c>
      <c r="K573">
        <v>5201</v>
      </c>
      <c r="L573" s="1">
        <v>43966</v>
      </c>
      <c r="M573" s="1">
        <v>43967</v>
      </c>
      <c r="N573">
        <v>8</v>
      </c>
      <c r="O573" s="4" cm="1">
        <f t="array" ref="O573">_xlfn.IFS(J573="Dell Inspiron 15",66989,J573="Lenovo IdeaPad Slim 3i",34690,J573="Mi NoteBook Ultra",57999,J573="Samsung Galaxy Go",36990,J573="Acer Aspire 3",38980)</f>
        <v>57999</v>
      </c>
      <c r="P573" t="s">
        <v>1029</v>
      </c>
    </row>
    <row r="574" spans="1:16" x14ac:dyDescent="0.25">
      <c r="A574">
        <v>19788</v>
      </c>
      <c r="B574" t="s">
        <v>61</v>
      </c>
      <c r="C574" t="s">
        <v>283</v>
      </c>
      <c r="D574" t="s">
        <v>1032</v>
      </c>
      <c r="E574" t="s">
        <v>1035</v>
      </c>
      <c r="F574" t="s">
        <v>1011</v>
      </c>
      <c r="G574" t="str">
        <f>UPPER(Table1[[#This Row],[State]])</f>
        <v>GUJARAT</v>
      </c>
      <c r="H574" t="s">
        <v>1016</v>
      </c>
      <c r="I574" t="s">
        <v>873</v>
      </c>
      <c r="J574" t="s">
        <v>1025</v>
      </c>
      <c r="K574">
        <v>4984</v>
      </c>
      <c r="L574" s="1">
        <v>43972</v>
      </c>
      <c r="M574" s="1">
        <v>43974</v>
      </c>
      <c r="N574">
        <v>10</v>
      </c>
      <c r="O574" s="4" cm="1">
        <f t="array" ref="O574">_xlfn.IFS(J574="Dell Inspiron 15",66989,J574="Lenovo IdeaPad Slim 3i",34690,J574="Mi NoteBook Ultra",57999,J574="Samsung Galaxy Go",36990,J574="Acer Aspire 3",38980)</f>
        <v>36990</v>
      </c>
      <c r="P574" t="s">
        <v>1029</v>
      </c>
    </row>
    <row r="575" spans="1:16" x14ac:dyDescent="0.25">
      <c r="A575">
        <v>16651</v>
      </c>
      <c r="B575" t="s">
        <v>645</v>
      </c>
      <c r="C575" t="s">
        <v>136</v>
      </c>
      <c r="D575" t="s">
        <v>1032</v>
      </c>
      <c r="E575" t="s">
        <v>1036</v>
      </c>
      <c r="F575" t="s">
        <v>1012</v>
      </c>
      <c r="G575" t="str">
        <f>UPPER(Table1[[#This Row],[State]])</f>
        <v>DELHI</v>
      </c>
      <c r="H575" t="s">
        <v>1017</v>
      </c>
      <c r="I575" t="s">
        <v>874</v>
      </c>
      <c r="J575" t="s">
        <v>1026</v>
      </c>
      <c r="K575">
        <v>4719</v>
      </c>
      <c r="L575" s="1">
        <v>43966</v>
      </c>
      <c r="M575" s="1">
        <v>43967</v>
      </c>
      <c r="N575">
        <v>4</v>
      </c>
      <c r="O575" s="4" cm="1">
        <f t="array" ref="O575">_xlfn.IFS(J575="Dell Inspiron 15",66989,J575="Lenovo IdeaPad Slim 3i",34690,J575="Mi NoteBook Ultra",57999,J575="Samsung Galaxy Go",36990,J575="Acer Aspire 3",38980)</f>
        <v>38980</v>
      </c>
      <c r="P575" t="s">
        <v>1029</v>
      </c>
    </row>
    <row r="576" spans="1:16" x14ac:dyDescent="0.25">
      <c r="A576">
        <v>25676</v>
      </c>
      <c r="B576" t="s">
        <v>875</v>
      </c>
      <c r="C576" t="s">
        <v>368</v>
      </c>
      <c r="D576" t="s">
        <v>1032</v>
      </c>
      <c r="E576" t="s">
        <v>1036</v>
      </c>
      <c r="F576" t="s">
        <v>1012</v>
      </c>
      <c r="G576" t="str">
        <f>UPPER(Table1[[#This Row],[State]])</f>
        <v>DELHI</v>
      </c>
      <c r="H576" t="s">
        <v>1017</v>
      </c>
      <c r="I576" t="s">
        <v>876</v>
      </c>
      <c r="J576" t="s">
        <v>1022</v>
      </c>
      <c r="K576">
        <v>5020</v>
      </c>
      <c r="L576" s="1">
        <v>43972</v>
      </c>
      <c r="M576" s="1">
        <v>43973</v>
      </c>
      <c r="N576">
        <v>10</v>
      </c>
      <c r="O576" s="4" cm="1">
        <f t="array" ref="O576">_xlfn.IFS(J576="Dell Inspiron 15",66989,J576="Lenovo IdeaPad Slim 3i",34690,J576="Mi NoteBook Ultra",57999,J576="Samsung Galaxy Go",36990,J576="Acer Aspire 3",38980)</f>
        <v>66989</v>
      </c>
      <c r="P576" t="s">
        <v>1029</v>
      </c>
    </row>
    <row r="577" spans="1:16" x14ac:dyDescent="0.25">
      <c r="A577">
        <v>24035</v>
      </c>
      <c r="B577" t="s">
        <v>551</v>
      </c>
      <c r="C577" t="s">
        <v>134</v>
      </c>
      <c r="D577" t="s">
        <v>1032</v>
      </c>
      <c r="E577" t="s">
        <v>1033</v>
      </c>
      <c r="F577" t="s">
        <v>1009</v>
      </c>
      <c r="G577" t="str">
        <f>UPPER(Table1[[#This Row],[State]])</f>
        <v>BIHAR</v>
      </c>
      <c r="H577" t="s">
        <v>1014</v>
      </c>
      <c r="I577" t="s">
        <v>877</v>
      </c>
      <c r="J577" t="s">
        <v>1024</v>
      </c>
      <c r="K577">
        <v>5052</v>
      </c>
      <c r="L577" s="1">
        <v>43972</v>
      </c>
      <c r="M577" s="1">
        <v>43974</v>
      </c>
      <c r="N577">
        <v>6</v>
      </c>
      <c r="O577" s="4" cm="1">
        <f t="array" ref="O577">_xlfn.IFS(J577="Dell Inspiron 15",66989,J577="Lenovo IdeaPad Slim 3i",34690,J577="Mi NoteBook Ultra",57999,J577="Samsung Galaxy Go",36990,J577="Acer Aspire 3",38980)</f>
        <v>57999</v>
      </c>
      <c r="P577" t="s">
        <v>1029</v>
      </c>
    </row>
    <row r="578" spans="1:16" x14ac:dyDescent="0.25">
      <c r="A578">
        <v>21797</v>
      </c>
      <c r="B578" t="s">
        <v>370</v>
      </c>
      <c r="C578" t="s">
        <v>98</v>
      </c>
      <c r="D578" t="s">
        <v>1032</v>
      </c>
      <c r="E578" t="s">
        <v>1034</v>
      </c>
      <c r="F578" t="s">
        <v>1010</v>
      </c>
      <c r="G578" t="str">
        <f>UPPER(Table1[[#This Row],[State]])</f>
        <v>PUDUCHERRY</v>
      </c>
      <c r="H578" t="s">
        <v>1015</v>
      </c>
      <c r="I578" t="s">
        <v>878</v>
      </c>
      <c r="J578" t="s">
        <v>1026</v>
      </c>
      <c r="K578">
        <v>5467</v>
      </c>
      <c r="L578" s="1">
        <v>43858</v>
      </c>
      <c r="M578" s="1">
        <v>43859</v>
      </c>
      <c r="N578">
        <v>2</v>
      </c>
      <c r="O578" s="4" cm="1">
        <f t="array" ref="O578">_xlfn.IFS(J578="Dell Inspiron 15",66989,J578="Lenovo IdeaPad Slim 3i",34690,J578="Mi NoteBook Ultra",57999,J578="Samsung Galaxy Go",36990,J578="Acer Aspire 3",38980)</f>
        <v>38980</v>
      </c>
      <c r="P578" t="s">
        <v>1029</v>
      </c>
    </row>
    <row r="579" spans="1:16" x14ac:dyDescent="0.25">
      <c r="A579">
        <v>23111</v>
      </c>
      <c r="B579" t="s">
        <v>216</v>
      </c>
      <c r="C579" t="s">
        <v>359</v>
      </c>
      <c r="D579" t="s">
        <v>1032</v>
      </c>
      <c r="E579" t="s">
        <v>1033</v>
      </c>
      <c r="F579" t="s">
        <v>1009</v>
      </c>
      <c r="G579" t="str">
        <f>UPPER(Table1[[#This Row],[State]])</f>
        <v>BIHAR</v>
      </c>
      <c r="H579" t="s">
        <v>1014</v>
      </c>
      <c r="I579" t="s">
        <v>879</v>
      </c>
      <c r="J579" t="s">
        <v>1022</v>
      </c>
      <c r="K579">
        <v>5474</v>
      </c>
      <c r="L579" s="1">
        <v>43858</v>
      </c>
      <c r="M579" s="1">
        <v>43860</v>
      </c>
      <c r="N579">
        <v>3</v>
      </c>
      <c r="O579" s="4" cm="1">
        <f t="array" ref="O579">_xlfn.IFS(J579="Dell Inspiron 15",66989,J579="Lenovo IdeaPad Slim 3i",34690,J579="Mi NoteBook Ultra",57999,J579="Samsung Galaxy Go",36990,J579="Acer Aspire 3",38980)</f>
        <v>66989</v>
      </c>
      <c r="P579" t="s">
        <v>1029</v>
      </c>
    </row>
    <row r="580" spans="1:16" x14ac:dyDescent="0.25">
      <c r="A580">
        <v>14585</v>
      </c>
      <c r="B580" t="s">
        <v>372</v>
      </c>
      <c r="C580" t="s">
        <v>107</v>
      </c>
      <c r="D580" t="s">
        <v>1032</v>
      </c>
      <c r="E580" t="s">
        <v>1035</v>
      </c>
      <c r="F580" t="s">
        <v>1011</v>
      </c>
      <c r="G580" t="str">
        <f>UPPER(Table1[[#This Row],[State]])</f>
        <v>GUJARAT</v>
      </c>
      <c r="H580" t="s">
        <v>1016</v>
      </c>
      <c r="I580" t="s">
        <v>880</v>
      </c>
      <c r="J580" t="s">
        <v>1023</v>
      </c>
      <c r="K580">
        <v>4939</v>
      </c>
      <c r="L580" s="1">
        <v>43953</v>
      </c>
      <c r="M580" s="1">
        <v>43955</v>
      </c>
      <c r="N580">
        <v>2</v>
      </c>
      <c r="O580" s="4" cm="1">
        <f t="array" ref="O580">_xlfn.IFS(J580="Dell Inspiron 15",66989,J580="Lenovo IdeaPad Slim 3i",34690,J580="Mi NoteBook Ultra",57999,J580="Samsung Galaxy Go",36990,J580="Acer Aspire 3",38980)</f>
        <v>34690</v>
      </c>
      <c r="P580" t="s">
        <v>1029</v>
      </c>
    </row>
    <row r="581" spans="1:16" x14ac:dyDescent="0.25">
      <c r="A581">
        <v>16268</v>
      </c>
      <c r="B581" t="s">
        <v>346</v>
      </c>
      <c r="C581" t="s">
        <v>746</v>
      </c>
      <c r="D581" t="s">
        <v>1032</v>
      </c>
      <c r="E581" t="s">
        <v>1035</v>
      </c>
      <c r="F581" t="s">
        <v>1011</v>
      </c>
      <c r="G581" t="str">
        <f>UPPER(Table1[[#This Row],[State]])</f>
        <v>GUJARAT</v>
      </c>
      <c r="H581" t="s">
        <v>1016</v>
      </c>
      <c r="I581" t="s">
        <v>881</v>
      </c>
      <c r="J581" t="s">
        <v>1025</v>
      </c>
      <c r="K581">
        <v>4609</v>
      </c>
      <c r="L581" s="1">
        <v>43883</v>
      </c>
      <c r="M581" s="1">
        <v>43884</v>
      </c>
      <c r="N581">
        <v>5</v>
      </c>
      <c r="O581" s="4" cm="1">
        <f t="array" ref="O581">_xlfn.IFS(J581="Dell Inspiron 15",66989,J581="Lenovo IdeaPad Slim 3i",34690,J581="Mi NoteBook Ultra",57999,J581="Samsung Galaxy Go",36990,J581="Acer Aspire 3",38980)</f>
        <v>36990</v>
      </c>
      <c r="P581" t="s">
        <v>1029</v>
      </c>
    </row>
    <row r="582" spans="1:16" x14ac:dyDescent="0.25">
      <c r="A582">
        <v>13669</v>
      </c>
      <c r="B582" t="s">
        <v>410</v>
      </c>
      <c r="C582" t="s">
        <v>205</v>
      </c>
      <c r="D582" t="s">
        <v>1032</v>
      </c>
      <c r="E582" t="s">
        <v>1036</v>
      </c>
      <c r="F582" t="s">
        <v>1012</v>
      </c>
      <c r="G582" t="str">
        <f>UPPER(Table1[[#This Row],[State]])</f>
        <v>DELHI</v>
      </c>
      <c r="H582" t="s">
        <v>1017</v>
      </c>
      <c r="I582" t="s">
        <v>882</v>
      </c>
      <c r="J582" t="s">
        <v>1022</v>
      </c>
      <c r="K582">
        <v>4756</v>
      </c>
      <c r="L582" s="1">
        <v>43917</v>
      </c>
      <c r="M582" s="1">
        <v>43918</v>
      </c>
      <c r="N582">
        <v>6</v>
      </c>
      <c r="O582" s="4" cm="1">
        <f t="array" ref="O582">_xlfn.IFS(J582="Dell Inspiron 15",66989,J582="Lenovo IdeaPad Slim 3i",34690,J582="Mi NoteBook Ultra",57999,J582="Samsung Galaxy Go",36990,J582="Acer Aspire 3",38980)</f>
        <v>66989</v>
      </c>
      <c r="P582" t="s">
        <v>1029</v>
      </c>
    </row>
    <row r="583" spans="1:16" x14ac:dyDescent="0.25">
      <c r="A583">
        <v>14014</v>
      </c>
      <c r="B583" t="s">
        <v>5</v>
      </c>
      <c r="C583" t="s">
        <v>296</v>
      </c>
      <c r="D583" t="s">
        <v>1032</v>
      </c>
      <c r="E583" t="s">
        <v>1033</v>
      </c>
      <c r="F583" t="s">
        <v>1009</v>
      </c>
      <c r="G583" t="str">
        <f>UPPER(Table1[[#This Row],[State]])</f>
        <v>BIHAR</v>
      </c>
      <c r="H583" t="s">
        <v>1014</v>
      </c>
      <c r="I583" t="s">
        <v>883</v>
      </c>
      <c r="J583" t="s">
        <v>1026</v>
      </c>
      <c r="K583">
        <v>4830</v>
      </c>
      <c r="L583" s="1">
        <v>43850</v>
      </c>
      <c r="M583" s="1">
        <v>43852</v>
      </c>
      <c r="N583">
        <v>4</v>
      </c>
      <c r="O583" s="4" cm="1">
        <f t="array" ref="O583">_xlfn.IFS(J583="Dell Inspiron 15",66989,J583="Lenovo IdeaPad Slim 3i",34690,J583="Mi NoteBook Ultra",57999,J583="Samsung Galaxy Go",36990,J583="Acer Aspire 3",38980)</f>
        <v>38980</v>
      </c>
      <c r="P583" t="s">
        <v>1029</v>
      </c>
    </row>
    <row r="584" spans="1:16" x14ac:dyDescent="0.25">
      <c r="A584">
        <v>22727</v>
      </c>
      <c r="B584" t="s">
        <v>257</v>
      </c>
      <c r="C584" t="s">
        <v>479</v>
      </c>
      <c r="D584" t="s">
        <v>1032</v>
      </c>
      <c r="E584" t="s">
        <v>1034</v>
      </c>
      <c r="F584" t="s">
        <v>1010</v>
      </c>
      <c r="G584" t="str">
        <f>UPPER(Table1[[#This Row],[State]])</f>
        <v>PUDUCHERRY</v>
      </c>
      <c r="H584" t="s">
        <v>1015</v>
      </c>
      <c r="I584" t="s">
        <v>884</v>
      </c>
      <c r="J584" t="s">
        <v>1024</v>
      </c>
      <c r="K584">
        <v>5442</v>
      </c>
      <c r="L584" s="1">
        <v>43902</v>
      </c>
      <c r="M584" s="1">
        <v>43909</v>
      </c>
      <c r="N584">
        <v>3</v>
      </c>
      <c r="O584" s="4" cm="1">
        <f t="array" ref="O584">_xlfn.IFS(J584="Dell Inspiron 15",66989,J584="Lenovo IdeaPad Slim 3i",34690,J584="Mi NoteBook Ultra",57999,J584="Samsung Galaxy Go",36990,J584="Acer Aspire 3",38980)</f>
        <v>57999</v>
      </c>
      <c r="P584" t="s">
        <v>1029</v>
      </c>
    </row>
    <row r="585" spans="1:16" x14ac:dyDescent="0.25">
      <c r="A585">
        <v>24963</v>
      </c>
      <c r="B585" t="s">
        <v>453</v>
      </c>
      <c r="C585" t="s">
        <v>324</v>
      </c>
      <c r="D585" t="s">
        <v>1032</v>
      </c>
      <c r="E585" t="s">
        <v>1033</v>
      </c>
      <c r="F585" t="s">
        <v>1009</v>
      </c>
      <c r="G585" t="str">
        <f>UPPER(Table1[[#This Row],[State]])</f>
        <v>BIHAR</v>
      </c>
      <c r="H585" t="s">
        <v>1014</v>
      </c>
      <c r="I585" t="s">
        <v>885</v>
      </c>
      <c r="J585" t="s">
        <v>1025</v>
      </c>
      <c r="K585">
        <v>5461</v>
      </c>
      <c r="L585" s="1">
        <v>43997</v>
      </c>
      <c r="M585" s="1">
        <v>43999</v>
      </c>
      <c r="N585">
        <v>7</v>
      </c>
      <c r="O585" s="4" cm="1">
        <f t="array" ref="O585">_xlfn.IFS(J585="Dell Inspiron 15",66989,J585="Lenovo IdeaPad Slim 3i",34690,J585="Mi NoteBook Ultra",57999,J585="Samsung Galaxy Go",36990,J585="Acer Aspire 3",38980)</f>
        <v>36990</v>
      </c>
      <c r="P585" t="s">
        <v>1029</v>
      </c>
    </row>
    <row r="586" spans="1:16" x14ac:dyDescent="0.25">
      <c r="A586">
        <v>18742</v>
      </c>
      <c r="B586" t="s">
        <v>59</v>
      </c>
      <c r="C586" t="s">
        <v>429</v>
      </c>
      <c r="D586" t="s">
        <v>1032</v>
      </c>
      <c r="E586" t="s">
        <v>1035</v>
      </c>
      <c r="F586" t="s">
        <v>1011</v>
      </c>
      <c r="G586" t="str">
        <f>UPPER(Table1[[#This Row],[State]])</f>
        <v>GUJARAT</v>
      </c>
      <c r="H586" t="s">
        <v>1016</v>
      </c>
      <c r="I586" t="s">
        <v>886</v>
      </c>
      <c r="J586" t="s">
        <v>1026</v>
      </c>
      <c r="K586">
        <v>4760</v>
      </c>
      <c r="L586" s="1">
        <v>43997</v>
      </c>
      <c r="M586" s="1">
        <v>43998</v>
      </c>
      <c r="N586">
        <v>10</v>
      </c>
      <c r="O586" s="4" cm="1">
        <f t="array" ref="O586">_xlfn.IFS(J586="Dell Inspiron 15",66989,J586="Lenovo IdeaPad Slim 3i",34690,J586="Mi NoteBook Ultra",57999,J586="Samsung Galaxy Go",36990,J586="Acer Aspire 3",38980)</f>
        <v>38980</v>
      </c>
      <c r="P586" t="s">
        <v>1029</v>
      </c>
    </row>
    <row r="587" spans="1:16" x14ac:dyDescent="0.25">
      <c r="A587">
        <v>19298</v>
      </c>
      <c r="B587" t="s">
        <v>222</v>
      </c>
      <c r="C587" t="s">
        <v>618</v>
      </c>
      <c r="D587" t="s">
        <v>1032</v>
      </c>
      <c r="E587" t="s">
        <v>1035</v>
      </c>
      <c r="F587" t="s">
        <v>1011</v>
      </c>
      <c r="G587" t="str">
        <f>UPPER(Table1[[#This Row],[State]])</f>
        <v>GUJARAT</v>
      </c>
      <c r="H587" t="s">
        <v>1016</v>
      </c>
      <c r="I587" t="s">
        <v>887</v>
      </c>
      <c r="J587" t="s">
        <v>1022</v>
      </c>
      <c r="K587">
        <v>4708</v>
      </c>
      <c r="L587" s="1">
        <v>43961</v>
      </c>
      <c r="M587" s="1">
        <v>43962</v>
      </c>
      <c r="N587">
        <v>6</v>
      </c>
      <c r="O587" s="4" cm="1">
        <f t="array" ref="O587">_xlfn.IFS(J587="Dell Inspiron 15",66989,J587="Lenovo IdeaPad Slim 3i",34690,J587="Mi NoteBook Ultra",57999,J587="Samsung Galaxy Go",36990,J587="Acer Aspire 3",38980)</f>
        <v>66989</v>
      </c>
      <c r="P587" t="s">
        <v>1029</v>
      </c>
    </row>
    <row r="588" spans="1:16" x14ac:dyDescent="0.25">
      <c r="A588">
        <v>19856</v>
      </c>
      <c r="B588" t="s">
        <v>436</v>
      </c>
      <c r="C588" t="s">
        <v>606</v>
      </c>
      <c r="D588" t="s">
        <v>1032</v>
      </c>
      <c r="E588" t="s">
        <v>1036</v>
      </c>
      <c r="F588" t="s">
        <v>1012</v>
      </c>
      <c r="G588" t="str">
        <f>UPPER(Table1[[#This Row],[State]])</f>
        <v>DELHI</v>
      </c>
      <c r="H588" t="s">
        <v>1017</v>
      </c>
      <c r="I588" t="s">
        <v>888</v>
      </c>
      <c r="J588" t="s">
        <v>1024</v>
      </c>
      <c r="K588">
        <v>5424</v>
      </c>
      <c r="L588" s="1">
        <v>43954</v>
      </c>
      <c r="M588" s="1">
        <v>43956</v>
      </c>
      <c r="N588">
        <v>3</v>
      </c>
      <c r="O588" s="4" cm="1">
        <f t="array" ref="O588">_xlfn.IFS(J588="Dell Inspiron 15",66989,J588="Lenovo IdeaPad Slim 3i",34690,J588="Mi NoteBook Ultra",57999,J588="Samsung Galaxy Go",36990,J588="Acer Aspire 3",38980)</f>
        <v>57999</v>
      </c>
      <c r="P588" t="s">
        <v>1029</v>
      </c>
    </row>
    <row r="589" spans="1:16" x14ac:dyDescent="0.25">
      <c r="A589">
        <v>16626</v>
      </c>
      <c r="B589" t="s">
        <v>37</v>
      </c>
      <c r="C589" t="s">
        <v>110</v>
      </c>
      <c r="D589" t="s">
        <v>1032</v>
      </c>
      <c r="E589" t="s">
        <v>1033</v>
      </c>
      <c r="F589" t="s">
        <v>1009</v>
      </c>
      <c r="G589" t="str">
        <f>UPPER(Table1[[#This Row],[State]])</f>
        <v>BIHAR</v>
      </c>
      <c r="H589" t="s">
        <v>1014</v>
      </c>
      <c r="I589" t="s">
        <v>889</v>
      </c>
      <c r="J589" t="s">
        <v>1026</v>
      </c>
      <c r="K589">
        <v>4801</v>
      </c>
      <c r="L589" s="1">
        <v>43954</v>
      </c>
      <c r="M589" s="1">
        <v>43956</v>
      </c>
      <c r="N589">
        <v>1</v>
      </c>
      <c r="O589" s="4" cm="1">
        <f t="array" ref="O589">_xlfn.IFS(J589="Dell Inspiron 15",66989,J589="Lenovo IdeaPad Slim 3i",34690,J589="Mi NoteBook Ultra",57999,J589="Samsung Galaxy Go",36990,J589="Acer Aspire 3",38980)</f>
        <v>38980</v>
      </c>
      <c r="P589" t="s">
        <v>1029</v>
      </c>
    </row>
    <row r="590" spans="1:16" x14ac:dyDescent="0.25">
      <c r="A590">
        <v>17343</v>
      </c>
      <c r="B590" t="s">
        <v>260</v>
      </c>
      <c r="C590" t="s">
        <v>26</v>
      </c>
      <c r="D590" t="s">
        <v>1032</v>
      </c>
      <c r="E590" t="s">
        <v>1036</v>
      </c>
      <c r="F590" t="s">
        <v>1012</v>
      </c>
      <c r="G590" t="str">
        <f>UPPER(Table1[[#This Row],[State]])</f>
        <v>DELHI</v>
      </c>
      <c r="H590" t="s">
        <v>1017</v>
      </c>
      <c r="I590" t="s">
        <v>890</v>
      </c>
      <c r="J590" t="s">
        <v>1022</v>
      </c>
      <c r="K590">
        <v>5134</v>
      </c>
      <c r="L590" s="1">
        <v>43954</v>
      </c>
      <c r="M590" s="1">
        <v>43955</v>
      </c>
      <c r="N590">
        <v>9</v>
      </c>
      <c r="O590" s="4" cm="1">
        <f t="array" ref="O590">_xlfn.IFS(J590="Dell Inspiron 15",66989,J590="Lenovo IdeaPad Slim 3i",34690,J590="Mi NoteBook Ultra",57999,J590="Samsung Galaxy Go",36990,J590="Acer Aspire 3",38980)</f>
        <v>66989</v>
      </c>
      <c r="P590" t="s">
        <v>1029</v>
      </c>
    </row>
    <row r="591" spans="1:16" x14ac:dyDescent="0.25">
      <c r="A591">
        <v>17012</v>
      </c>
      <c r="B591" t="s">
        <v>353</v>
      </c>
      <c r="C591" t="s">
        <v>277</v>
      </c>
      <c r="D591" t="s">
        <v>1032</v>
      </c>
      <c r="E591" t="s">
        <v>1033</v>
      </c>
      <c r="F591" t="s">
        <v>1009</v>
      </c>
      <c r="G591" t="str">
        <f>UPPER(Table1[[#This Row],[State]])</f>
        <v>BIHAR</v>
      </c>
      <c r="H591" t="s">
        <v>1014</v>
      </c>
      <c r="I591" t="s">
        <v>891</v>
      </c>
      <c r="J591" t="s">
        <v>1023</v>
      </c>
      <c r="K591">
        <v>5528</v>
      </c>
      <c r="L591" s="1">
        <v>44004</v>
      </c>
      <c r="M591" s="1">
        <v>44006</v>
      </c>
      <c r="N591">
        <v>2</v>
      </c>
      <c r="O591" s="4" cm="1">
        <f t="array" ref="O591">_xlfn.IFS(J591="Dell Inspiron 15",66989,J591="Lenovo IdeaPad Slim 3i",34690,J591="Mi NoteBook Ultra",57999,J591="Samsung Galaxy Go",36990,J591="Acer Aspire 3",38980)</f>
        <v>34690</v>
      </c>
      <c r="P591" t="s">
        <v>1029</v>
      </c>
    </row>
    <row r="592" spans="1:16" x14ac:dyDescent="0.25">
      <c r="A592">
        <v>19448</v>
      </c>
      <c r="B592" t="s">
        <v>295</v>
      </c>
      <c r="C592" t="s">
        <v>306</v>
      </c>
      <c r="D592" t="s">
        <v>1032</v>
      </c>
      <c r="E592" t="s">
        <v>1034</v>
      </c>
      <c r="F592" t="s">
        <v>1010</v>
      </c>
      <c r="G592" t="str">
        <f>UPPER(Table1[[#This Row],[State]])</f>
        <v>PUDUCHERRY</v>
      </c>
      <c r="H592" t="s">
        <v>1015</v>
      </c>
      <c r="I592" t="s">
        <v>892</v>
      </c>
      <c r="J592" t="s">
        <v>1024</v>
      </c>
      <c r="K592">
        <v>5492</v>
      </c>
      <c r="L592" s="1">
        <v>43927</v>
      </c>
      <c r="M592" s="1">
        <v>43928</v>
      </c>
      <c r="N592">
        <v>3</v>
      </c>
      <c r="O592" s="4" cm="1">
        <f t="array" ref="O592">_xlfn.IFS(J592="Dell Inspiron 15",66989,J592="Lenovo IdeaPad Slim 3i",34690,J592="Mi NoteBook Ultra",57999,J592="Samsung Galaxy Go",36990,J592="Acer Aspire 3",38980)</f>
        <v>57999</v>
      </c>
      <c r="P592" t="s">
        <v>1029</v>
      </c>
    </row>
    <row r="593" spans="1:16" x14ac:dyDescent="0.25">
      <c r="A593">
        <v>25216</v>
      </c>
      <c r="B593" t="s">
        <v>37</v>
      </c>
      <c r="C593" t="s">
        <v>618</v>
      </c>
      <c r="D593" t="s">
        <v>1032</v>
      </c>
      <c r="E593" t="s">
        <v>1033</v>
      </c>
      <c r="F593" t="s">
        <v>1009</v>
      </c>
      <c r="G593" t="str">
        <f>UPPER(Table1[[#This Row],[State]])</f>
        <v>BIHAR</v>
      </c>
      <c r="H593" t="s">
        <v>1014</v>
      </c>
      <c r="I593" t="s">
        <v>893</v>
      </c>
      <c r="J593" t="s">
        <v>1025</v>
      </c>
      <c r="K593">
        <v>5195</v>
      </c>
      <c r="L593" s="1">
        <v>44004</v>
      </c>
      <c r="M593" s="1">
        <v>44006</v>
      </c>
      <c r="N593">
        <v>1</v>
      </c>
      <c r="O593" s="4" cm="1">
        <f t="array" ref="O593">_xlfn.IFS(J593="Dell Inspiron 15",66989,J593="Lenovo IdeaPad Slim 3i",34690,J593="Mi NoteBook Ultra",57999,J593="Samsung Galaxy Go",36990,J593="Acer Aspire 3",38980)</f>
        <v>36990</v>
      </c>
      <c r="P593" t="s">
        <v>1029</v>
      </c>
    </row>
    <row r="594" spans="1:16" x14ac:dyDescent="0.25">
      <c r="A594">
        <v>17682</v>
      </c>
      <c r="B594" t="s">
        <v>226</v>
      </c>
      <c r="C594" t="s">
        <v>128</v>
      </c>
      <c r="D594" t="s">
        <v>1032</v>
      </c>
      <c r="E594" t="s">
        <v>1035</v>
      </c>
      <c r="F594" t="s">
        <v>1011</v>
      </c>
      <c r="G594" t="str">
        <f>UPPER(Table1[[#This Row],[State]])</f>
        <v>GUJARAT</v>
      </c>
      <c r="H594" t="s">
        <v>1016</v>
      </c>
      <c r="I594" t="s">
        <v>894</v>
      </c>
      <c r="J594" t="s">
        <v>1026</v>
      </c>
      <c r="K594">
        <v>4887</v>
      </c>
      <c r="L594" s="1">
        <v>44004</v>
      </c>
      <c r="M594" s="1">
        <v>44005</v>
      </c>
      <c r="N594">
        <v>5</v>
      </c>
      <c r="O594" s="4" cm="1">
        <f t="array" ref="O594">_xlfn.IFS(J594="Dell Inspiron 15",66989,J594="Lenovo IdeaPad Slim 3i",34690,J594="Mi NoteBook Ultra",57999,J594="Samsung Galaxy Go",36990,J594="Acer Aspire 3",38980)</f>
        <v>38980</v>
      </c>
      <c r="P594" t="s">
        <v>1029</v>
      </c>
    </row>
    <row r="595" spans="1:16" x14ac:dyDescent="0.25">
      <c r="A595">
        <v>18525</v>
      </c>
      <c r="B595" t="s">
        <v>56</v>
      </c>
      <c r="C595" t="s">
        <v>44</v>
      </c>
      <c r="D595" t="s">
        <v>1032</v>
      </c>
      <c r="E595" t="s">
        <v>1033</v>
      </c>
      <c r="F595" t="s">
        <v>1009</v>
      </c>
      <c r="G595" t="str">
        <f>UPPER(Table1[[#This Row],[State]])</f>
        <v>BIHAR</v>
      </c>
      <c r="H595" t="s">
        <v>1014</v>
      </c>
      <c r="I595" t="s">
        <v>895</v>
      </c>
      <c r="J595" t="s">
        <v>1022</v>
      </c>
      <c r="K595">
        <v>5386</v>
      </c>
      <c r="L595" s="1">
        <v>43927</v>
      </c>
      <c r="M595" s="1">
        <v>43928</v>
      </c>
      <c r="N595">
        <v>9</v>
      </c>
      <c r="O595" s="4" cm="1">
        <f t="array" ref="O595">_xlfn.IFS(J595="Dell Inspiron 15",66989,J595="Lenovo IdeaPad Slim 3i",34690,J595="Mi NoteBook Ultra",57999,J595="Samsung Galaxy Go",36990,J595="Acer Aspire 3",38980)</f>
        <v>66989</v>
      </c>
      <c r="P595" t="s">
        <v>1029</v>
      </c>
    </row>
    <row r="596" spans="1:16" x14ac:dyDescent="0.25">
      <c r="A596">
        <v>15307</v>
      </c>
      <c r="B596" t="s">
        <v>701</v>
      </c>
      <c r="C596" t="s">
        <v>220</v>
      </c>
      <c r="D596" t="s">
        <v>1032</v>
      </c>
      <c r="E596" t="s">
        <v>1034</v>
      </c>
      <c r="F596" t="s">
        <v>1010</v>
      </c>
      <c r="G596" t="str">
        <f>UPPER(Table1[[#This Row],[State]])</f>
        <v>PUDUCHERRY</v>
      </c>
      <c r="H596" t="s">
        <v>1015</v>
      </c>
      <c r="I596" t="s">
        <v>896</v>
      </c>
      <c r="J596" t="s">
        <v>1024</v>
      </c>
      <c r="K596">
        <v>5180</v>
      </c>
      <c r="L596" s="1">
        <v>44004</v>
      </c>
      <c r="M596" s="1">
        <v>44005</v>
      </c>
      <c r="N596">
        <v>4</v>
      </c>
      <c r="O596" s="4" cm="1">
        <f t="array" ref="O596">_xlfn.IFS(J596="Dell Inspiron 15",66989,J596="Lenovo IdeaPad Slim 3i",34690,J596="Mi NoteBook Ultra",57999,J596="Samsung Galaxy Go",36990,J596="Acer Aspire 3",38980)</f>
        <v>57999</v>
      </c>
      <c r="P596" t="s">
        <v>1029</v>
      </c>
    </row>
    <row r="597" spans="1:16" x14ac:dyDescent="0.25">
      <c r="A597">
        <v>17902</v>
      </c>
      <c r="B597" t="s">
        <v>760</v>
      </c>
      <c r="C597" t="s">
        <v>32</v>
      </c>
      <c r="D597" t="s">
        <v>1032</v>
      </c>
      <c r="E597" t="s">
        <v>1033</v>
      </c>
      <c r="F597" t="s">
        <v>1009</v>
      </c>
      <c r="G597" t="str">
        <f>UPPER(Table1[[#This Row],[State]])</f>
        <v>BIHAR</v>
      </c>
      <c r="H597" t="s">
        <v>1014</v>
      </c>
      <c r="I597" t="s">
        <v>897</v>
      </c>
      <c r="J597" t="s">
        <v>1026</v>
      </c>
      <c r="K597">
        <v>5481</v>
      </c>
      <c r="L597" s="1">
        <v>43833</v>
      </c>
      <c r="M597" s="1">
        <v>43834</v>
      </c>
      <c r="N597">
        <v>9</v>
      </c>
      <c r="O597" s="4" cm="1">
        <f t="array" ref="O597">_xlfn.IFS(J597="Dell Inspiron 15",66989,J597="Lenovo IdeaPad Slim 3i",34690,J597="Mi NoteBook Ultra",57999,J597="Samsung Galaxy Go",36990,J597="Acer Aspire 3",38980)</f>
        <v>38980</v>
      </c>
      <c r="P597" t="s">
        <v>1029</v>
      </c>
    </row>
    <row r="598" spans="1:16" x14ac:dyDescent="0.25">
      <c r="A598">
        <v>16499</v>
      </c>
      <c r="B598" t="s">
        <v>308</v>
      </c>
      <c r="C598" t="s">
        <v>306</v>
      </c>
      <c r="D598" t="s">
        <v>1032</v>
      </c>
      <c r="E598" t="s">
        <v>1035</v>
      </c>
      <c r="F598" t="s">
        <v>1011</v>
      </c>
      <c r="G598" t="str">
        <f>UPPER(Table1[[#This Row],[State]])</f>
        <v>GUJARAT</v>
      </c>
      <c r="H598" t="s">
        <v>1016</v>
      </c>
      <c r="I598" t="s">
        <v>898</v>
      </c>
      <c r="J598" t="s">
        <v>1022</v>
      </c>
      <c r="K598">
        <v>5443</v>
      </c>
      <c r="L598" s="1">
        <v>43925</v>
      </c>
      <c r="M598" s="1">
        <v>43927</v>
      </c>
      <c r="N598">
        <v>2</v>
      </c>
      <c r="O598" s="4" cm="1">
        <f t="array" ref="O598">_xlfn.IFS(J598="Dell Inspiron 15",66989,J598="Lenovo IdeaPad Slim 3i",34690,J598="Mi NoteBook Ultra",57999,J598="Samsung Galaxy Go",36990,J598="Acer Aspire 3",38980)</f>
        <v>66989</v>
      </c>
      <c r="P598" t="s">
        <v>1029</v>
      </c>
    </row>
    <row r="599" spans="1:16" x14ac:dyDescent="0.25">
      <c r="A599">
        <v>18537</v>
      </c>
      <c r="B599" t="s">
        <v>19</v>
      </c>
      <c r="C599" t="s">
        <v>461</v>
      </c>
      <c r="D599" t="s">
        <v>1032</v>
      </c>
      <c r="E599" t="s">
        <v>1035</v>
      </c>
      <c r="F599" t="s">
        <v>1011</v>
      </c>
      <c r="G599" t="str">
        <f>UPPER(Table1[[#This Row],[State]])</f>
        <v>GUJARAT</v>
      </c>
      <c r="H599" t="s">
        <v>1016</v>
      </c>
      <c r="I599" t="s">
        <v>899</v>
      </c>
      <c r="J599" t="s">
        <v>1023</v>
      </c>
      <c r="K599">
        <v>5495</v>
      </c>
      <c r="L599" s="1">
        <v>43925</v>
      </c>
      <c r="M599" s="1">
        <v>43927</v>
      </c>
      <c r="N599">
        <v>6</v>
      </c>
      <c r="O599" s="4" cm="1">
        <f t="array" ref="O599">_xlfn.IFS(J599="Dell Inspiron 15",66989,J599="Lenovo IdeaPad Slim 3i",34690,J599="Mi NoteBook Ultra",57999,J599="Samsung Galaxy Go",36990,J599="Acer Aspire 3",38980)</f>
        <v>34690</v>
      </c>
      <c r="P599" t="s">
        <v>1029</v>
      </c>
    </row>
    <row r="600" spans="1:16" x14ac:dyDescent="0.25">
      <c r="A600">
        <v>20303</v>
      </c>
      <c r="B600" t="s">
        <v>141</v>
      </c>
      <c r="C600" t="s">
        <v>123</v>
      </c>
      <c r="D600" t="s">
        <v>1032</v>
      </c>
      <c r="E600" t="s">
        <v>1035</v>
      </c>
      <c r="F600" t="s">
        <v>1011</v>
      </c>
      <c r="G600" t="str">
        <f>UPPER(Table1[[#This Row],[State]])</f>
        <v>GUJARAT</v>
      </c>
      <c r="H600" t="s">
        <v>1016</v>
      </c>
      <c r="I600" t="s">
        <v>900</v>
      </c>
      <c r="J600" t="s">
        <v>1025</v>
      </c>
      <c r="K600">
        <v>5400</v>
      </c>
      <c r="L600" s="1">
        <v>43930</v>
      </c>
      <c r="M600" s="1">
        <v>43932</v>
      </c>
      <c r="N600">
        <v>9</v>
      </c>
      <c r="O600" s="4" cm="1">
        <f t="array" ref="O600">_xlfn.IFS(J600="Dell Inspiron 15",66989,J600="Lenovo IdeaPad Slim 3i",34690,J600="Mi NoteBook Ultra",57999,J600="Samsung Galaxy Go",36990,J600="Acer Aspire 3",38980)</f>
        <v>36990</v>
      </c>
      <c r="P600" t="s">
        <v>1029</v>
      </c>
    </row>
    <row r="601" spans="1:16" x14ac:dyDescent="0.25">
      <c r="A601">
        <v>18529</v>
      </c>
      <c r="B601" t="s">
        <v>213</v>
      </c>
      <c r="C601" t="s">
        <v>32</v>
      </c>
      <c r="D601" t="s">
        <v>1032</v>
      </c>
      <c r="E601" t="s">
        <v>1035</v>
      </c>
      <c r="F601" t="s">
        <v>1011</v>
      </c>
      <c r="G601" t="str">
        <f>UPPER(Table1[[#This Row],[State]])</f>
        <v>GUJARAT</v>
      </c>
      <c r="H601" t="s">
        <v>1016</v>
      </c>
      <c r="I601" t="s">
        <v>901</v>
      </c>
      <c r="J601" t="s">
        <v>1022</v>
      </c>
      <c r="K601">
        <v>4575</v>
      </c>
      <c r="L601" s="1">
        <v>43833</v>
      </c>
      <c r="M601" s="1">
        <v>43834</v>
      </c>
      <c r="N601">
        <v>2</v>
      </c>
      <c r="O601" s="4" cm="1">
        <f t="array" ref="O601">_xlfn.IFS(J601="Dell Inspiron 15",66989,J601="Lenovo IdeaPad Slim 3i",34690,J601="Mi NoteBook Ultra",57999,J601="Samsung Galaxy Go",36990,J601="Acer Aspire 3",38980)</f>
        <v>66989</v>
      </c>
      <c r="P601" t="s">
        <v>1029</v>
      </c>
    </row>
    <row r="602" spans="1:16" x14ac:dyDescent="0.25">
      <c r="A602">
        <v>21056</v>
      </c>
      <c r="B602" t="s">
        <v>158</v>
      </c>
      <c r="C602" t="s">
        <v>446</v>
      </c>
      <c r="D602" t="s">
        <v>1032</v>
      </c>
      <c r="E602" t="s">
        <v>1036</v>
      </c>
      <c r="F602" t="s">
        <v>1012</v>
      </c>
      <c r="G602" t="str">
        <f>UPPER(Table1[[#This Row],[State]])</f>
        <v>DELHI</v>
      </c>
      <c r="H602" t="s">
        <v>1017</v>
      </c>
      <c r="I602" t="s">
        <v>902</v>
      </c>
      <c r="J602" t="s">
        <v>1026</v>
      </c>
      <c r="K602">
        <v>5044</v>
      </c>
      <c r="L602" s="1">
        <v>43925</v>
      </c>
      <c r="M602" s="1">
        <v>43927</v>
      </c>
      <c r="N602">
        <v>5</v>
      </c>
      <c r="O602" s="4" cm="1">
        <f t="array" ref="O602">_xlfn.IFS(J602="Dell Inspiron 15",66989,J602="Lenovo IdeaPad Slim 3i",34690,J602="Mi NoteBook Ultra",57999,J602="Samsung Galaxy Go",36990,J602="Acer Aspire 3",38980)</f>
        <v>38980</v>
      </c>
      <c r="P602" t="s">
        <v>1029</v>
      </c>
    </row>
    <row r="603" spans="1:16" x14ac:dyDescent="0.25">
      <c r="A603">
        <v>19299</v>
      </c>
      <c r="B603" t="s">
        <v>404</v>
      </c>
      <c r="C603" t="s">
        <v>608</v>
      </c>
      <c r="D603" t="s">
        <v>1032</v>
      </c>
      <c r="E603" t="s">
        <v>1033</v>
      </c>
      <c r="F603" t="s">
        <v>1009</v>
      </c>
      <c r="G603" t="str">
        <f>UPPER(Table1[[#This Row],[State]])</f>
        <v>BIHAR</v>
      </c>
      <c r="H603" t="s">
        <v>1014</v>
      </c>
      <c r="I603" t="s">
        <v>903</v>
      </c>
      <c r="J603" t="s">
        <v>1024</v>
      </c>
      <c r="K603">
        <v>4825</v>
      </c>
      <c r="L603" s="1">
        <v>43925</v>
      </c>
      <c r="M603" s="1">
        <v>43927</v>
      </c>
      <c r="N603">
        <v>1</v>
      </c>
      <c r="O603" s="4" cm="1">
        <f t="array" ref="O603">_xlfn.IFS(J603="Dell Inspiron 15",66989,J603="Lenovo IdeaPad Slim 3i",34690,J603="Mi NoteBook Ultra",57999,J603="Samsung Galaxy Go",36990,J603="Acer Aspire 3",38980)</f>
        <v>57999</v>
      </c>
      <c r="P603" t="s">
        <v>1029</v>
      </c>
    </row>
    <row r="604" spans="1:16" x14ac:dyDescent="0.25">
      <c r="A604">
        <v>20072</v>
      </c>
      <c r="B604" t="s">
        <v>28</v>
      </c>
      <c r="C604" t="s">
        <v>77</v>
      </c>
      <c r="D604" t="s">
        <v>1032</v>
      </c>
      <c r="E604" t="s">
        <v>1034</v>
      </c>
      <c r="F604" t="s">
        <v>1010</v>
      </c>
      <c r="G604" t="str">
        <f>UPPER(Table1[[#This Row],[State]])</f>
        <v>PUDUCHERRY</v>
      </c>
      <c r="H604" t="s">
        <v>1015</v>
      </c>
      <c r="I604" t="s">
        <v>904</v>
      </c>
      <c r="J604" t="s">
        <v>1025</v>
      </c>
      <c r="K604">
        <v>5342</v>
      </c>
      <c r="L604" s="1">
        <v>43930</v>
      </c>
      <c r="M604" s="1">
        <v>43932</v>
      </c>
      <c r="N604">
        <v>6</v>
      </c>
      <c r="O604" s="4" cm="1">
        <f t="array" ref="O604">_xlfn.IFS(J604="Dell Inspiron 15",66989,J604="Lenovo IdeaPad Slim 3i",34690,J604="Mi NoteBook Ultra",57999,J604="Samsung Galaxy Go",36990,J604="Acer Aspire 3",38980)</f>
        <v>36990</v>
      </c>
      <c r="P604" t="s">
        <v>1029</v>
      </c>
    </row>
    <row r="605" spans="1:16" x14ac:dyDescent="0.25">
      <c r="A605">
        <v>15858</v>
      </c>
      <c r="B605" t="s">
        <v>82</v>
      </c>
      <c r="C605" t="s">
        <v>107</v>
      </c>
      <c r="D605" t="s">
        <v>1032</v>
      </c>
      <c r="E605" t="s">
        <v>1033</v>
      </c>
      <c r="F605" t="s">
        <v>1009</v>
      </c>
      <c r="G605" t="str">
        <f>UPPER(Table1[[#This Row],[State]])</f>
        <v>BIHAR</v>
      </c>
      <c r="H605" t="s">
        <v>1014</v>
      </c>
      <c r="I605" t="s">
        <v>905</v>
      </c>
      <c r="J605" t="s">
        <v>1026</v>
      </c>
      <c r="K605">
        <v>4547</v>
      </c>
      <c r="L605" s="1">
        <v>43842</v>
      </c>
      <c r="M605" s="1">
        <v>43843</v>
      </c>
      <c r="N605">
        <v>9</v>
      </c>
      <c r="O605" s="4" cm="1">
        <f t="array" ref="O605">_xlfn.IFS(J605="Dell Inspiron 15",66989,J605="Lenovo IdeaPad Slim 3i",34690,J605="Mi NoteBook Ultra",57999,J605="Samsung Galaxy Go",36990,J605="Acer Aspire 3",38980)</f>
        <v>38980</v>
      </c>
      <c r="P605" t="s">
        <v>1029</v>
      </c>
    </row>
    <row r="606" spans="1:16" x14ac:dyDescent="0.25">
      <c r="A606">
        <v>19746</v>
      </c>
      <c r="B606" t="s">
        <v>481</v>
      </c>
      <c r="C606" t="s">
        <v>105</v>
      </c>
      <c r="D606" t="s">
        <v>1032</v>
      </c>
      <c r="E606" t="s">
        <v>1035</v>
      </c>
      <c r="F606" t="s">
        <v>1011</v>
      </c>
      <c r="G606" t="str">
        <f>UPPER(Table1[[#This Row],[State]])</f>
        <v>GUJARAT</v>
      </c>
      <c r="H606" t="s">
        <v>1016</v>
      </c>
      <c r="I606" t="s">
        <v>906</v>
      </c>
      <c r="J606" t="s">
        <v>1022</v>
      </c>
      <c r="K606">
        <v>5075</v>
      </c>
      <c r="L606" s="1">
        <v>43842</v>
      </c>
      <c r="M606" s="1">
        <v>43844</v>
      </c>
      <c r="N606">
        <v>4</v>
      </c>
      <c r="O606" s="4" cm="1">
        <f t="array" ref="O606">_xlfn.IFS(J606="Dell Inspiron 15",66989,J606="Lenovo IdeaPad Slim 3i",34690,J606="Mi NoteBook Ultra",57999,J606="Samsung Galaxy Go",36990,J606="Acer Aspire 3",38980)</f>
        <v>66989</v>
      </c>
      <c r="P606" t="s">
        <v>1029</v>
      </c>
    </row>
    <row r="607" spans="1:16" x14ac:dyDescent="0.25">
      <c r="A607">
        <v>13062</v>
      </c>
      <c r="B607" t="s">
        <v>686</v>
      </c>
      <c r="C607" t="s">
        <v>316</v>
      </c>
      <c r="D607" t="s">
        <v>1032</v>
      </c>
      <c r="E607" t="s">
        <v>1035</v>
      </c>
      <c r="F607" t="s">
        <v>1011</v>
      </c>
      <c r="G607" t="str">
        <f>UPPER(Table1[[#This Row],[State]])</f>
        <v>GUJARAT</v>
      </c>
      <c r="H607" t="s">
        <v>1016</v>
      </c>
      <c r="I607" t="s">
        <v>907</v>
      </c>
      <c r="J607" t="s">
        <v>1024</v>
      </c>
      <c r="K607">
        <v>5442</v>
      </c>
      <c r="L607" s="1">
        <v>43930</v>
      </c>
      <c r="M607" s="1">
        <v>43931</v>
      </c>
      <c r="N607">
        <v>4</v>
      </c>
      <c r="O607" s="4" cm="1">
        <f t="array" ref="O607">_xlfn.IFS(J607="Dell Inspiron 15",66989,J607="Lenovo IdeaPad Slim 3i",34690,J607="Mi NoteBook Ultra",57999,J607="Samsung Galaxy Go",36990,J607="Acer Aspire 3",38980)</f>
        <v>57999</v>
      </c>
      <c r="P607" t="s">
        <v>1029</v>
      </c>
    </row>
    <row r="608" spans="1:16" x14ac:dyDescent="0.25">
      <c r="A608">
        <v>23158</v>
      </c>
      <c r="B608" t="s">
        <v>274</v>
      </c>
      <c r="C608" t="s">
        <v>74</v>
      </c>
      <c r="D608" t="s">
        <v>1032</v>
      </c>
      <c r="E608" t="s">
        <v>1036</v>
      </c>
      <c r="F608" t="s">
        <v>1012</v>
      </c>
      <c r="G608" t="str">
        <f>UPPER(Table1[[#This Row],[State]])</f>
        <v>DELHI</v>
      </c>
      <c r="H608" t="s">
        <v>1017</v>
      </c>
      <c r="I608" t="s">
        <v>908</v>
      </c>
      <c r="J608" t="s">
        <v>1026</v>
      </c>
      <c r="K608">
        <v>5152</v>
      </c>
      <c r="L608" s="1">
        <v>43857</v>
      </c>
      <c r="M608" s="1">
        <v>43858</v>
      </c>
      <c r="N608">
        <v>2</v>
      </c>
      <c r="O608" s="4" cm="1">
        <f t="array" ref="O608">_xlfn.IFS(J608="Dell Inspiron 15",66989,J608="Lenovo IdeaPad Slim 3i",34690,J608="Mi NoteBook Ultra",57999,J608="Samsung Galaxy Go",36990,J608="Acer Aspire 3",38980)</f>
        <v>38980</v>
      </c>
      <c r="P608" t="s">
        <v>1029</v>
      </c>
    </row>
    <row r="609" spans="1:16" x14ac:dyDescent="0.25">
      <c r="A609">
        <v>14510</v>
      </c>
      <c r="B609" t="s">
        <v>370</v>
      </c>
      <c r="C609" t="s">
        <v>474</v>
      </c>
      <c r="D609" t="s">
        <v>1032</v>
      </c>
      <c r="E609" t="s">
        <v>1033</v>
      </c>
      <c r="F609" t="s">
        <v>1009</v>
      </c>
      <c r="G609" t="str">
        <f>UPPER(Table1[[#This Row],[State]])</f>
        <v>BIHAR</v>
      </c>
      <c r="H609" t="s">
        <v>1014</v>
      </c>
      <c r="I609" t="s">
        <v>909</v>
      </c>
      <c r="J609" t="s">
        <v>1022</v>
      </c>
      <c r="K609">
        <v>5277</v>
      </c>
      <c r="L609" s="1">
        <v>43976</v>
      </c>
      <c r="M609" s="1">
        <v>43977</v>
      </c>
      <c r="N609">
        <v>3</v>
      </c>
      <c r="O609" s="4" cm="1">
        <f t="array" ref="O609">_xlfn.IFS(J609="Dell Inspiron 15",66989,J609="Lenovo IdeaPad Slim 3i",34690,J609="Mi NoteBook Ultra",57999,J609="Samsung Galaxy Go",36990,J609="Acer Aspire 3",38980)</f>
        <v>66989</v>
      </c>
      <c r="P609" t="s">
        <v>1029</v>
      </c>
    </row>
    <row r="610" spans="1:16" x14ac:dyDescent="0.25">
      <c r="A610">
        <v>23383</v>
      </c>
      <c r="B610" t="s">
        <v>576</v>
      </c>
      <c r="C610" t="s">
        <v>693</v>
      </c>
      <c r="D610" t="s">
        <v>1032</v>
      </c>
      <c r="E610" t="s">
        <v>1034</v>
      </c>
      <c r="F610" t="s">
        <v>1010</v>
      </c>
      <c r="G610" t="str">
        <f>UPPER(Table1[[#This Row],[State]])</f>
        <v>PUDUCHERRY</v>
      </c>
      <c r="H610" t="s">
        <v>1015</v>
      </c>
      <c r="I610" t="s">
        <v>910</v>
      </c>
      <c r="J610" t="s">
        <v>1023</v>
      </c>
      <c r="K610">
        <v>4900</v>
      </c>
      <c r="L610" s="1">
        <v>43967</v>
      </c>
      <c r="M610" s="1">
        <v>43968</v>
      </c>
      <c r="N610">
        <v>1</v>
      </c>
      <c r="O610" s="4" cm="1">
        <f t="array" ref="O610">_xlfn.IFS(J610="Dell Inspiron 15",66989,J610="Lenovo IdeaPad Slim 3i",34690,J610="Mi NoteBook Ultra",57999,J610="Samsung Galaxy Go",36990,J610="Acer Aspire 3",38980)</f>
        <v>34690</v>
      </c>
      <c r="P610" t="s">
        <v>1029</v>
      </c>
    </row>
    <row r="611" spans="1:16" x14ac:dyDescent="0.25">
      <c r="A611">
        <v>17760</v>
      </c>
      <c r="B611" t="s">
        <v>34</v>
      </c>
      <c r="C611" t="s">
        <v>196</v>
      </c>
      <c r="D611" t="s">
        <v>1032</v>
      </c>
      <c r="E611" t="s">
        <v>1033</v>
      </c>
      <c r="F611" t="s">
        <v>1009</v>
      </c>
      <c r="G611" t="str">
        <f>UPPER(Table1[[#This Row],[State]])</f>
        <v>BIHAR</v>
      </c>
      <c r="H611" t="s">
        <v>1014</v>
      </c>
      <c r="I611" t="s">
        <v>911</v>
      </c>
      <c r="J611" t="s">
        <v>1022</v>
      </c>
      <c r="K611">
        <v>5007</v>
      </c>
      <c r="L611" s="1">
        <v>43967</v>
      </c>
      <c r="M611" s="1">
        <v>43968</v>
      </c>
      <c r="N611">
        <v>4</v>
      </c>
      <c r="O611" s="4" cm="1">
        <f t="array" ref="O611">_xlfn.IFS(J611="Dell Inspiron 15",66989,J611="Lenovo IdeaPad Slim 3i",34690,J611="Mi NoteBook Ultra",57999,J611="Samsung Galaxy Go",36990,J611="Acer Aspire 3",38980)</f>
        <v>66989</v>
      </c>
      <c r="P611" t="s">
        <v>1029</v>
      </c>
    </row>
    <row r="612" spans="1:16" x14ac:dyDescent="0.25">
      <c r="A612">
        <v>17642</v>
      </c>
      <c r="B612" t="s">
        <v>370</v>
      </c>
      <c r="C612" t="s">
        <v>107</v>
      </c>
      <c r="D612" t="s">
        <v>1032</v>
      </c>
      <c r="E612" t="s">
        <v>1035</v>
      </c>
      <c r="F612" t="s">
        <v>1011</v>
      </c>
      <c r="G612" t="str">
        <f>UPPER(Table1[[#This Row],[State]])</f>
        <v>GUJARAT</v>
      </c>
      <c r="H612" t="s">
        <v>1016</v>
      </c>
      <c r="I612" t="s">
        <v>912</v>
      </c>
      <c r="J612" t="s">
        <v>1023</v>
      </c>
      <c r="K612">
        <v>4578</v>
      </c>
      <c r="L612" s="1">
        <v>43984</v>
      </c>
      <c r="M612" s="1">
        <v>43985</v>
      </c>
      <c r="N612">
        <v>2</v>
      </c>
      <c r="O612" s="4" cm="1">
        <f t="array" ref="O612">_xlfn.IFS(J612="Dell Inspiron 15",66989,J612="Lenovo IdeaPad Slim 3i",34690,J612="Mi NoteBook Ultra",57999,J612="Samsung Galaxy Go",36990,J612="Acer Aspire 3",38980)</f>
        <v>34690</v>
      </c>
      <c r="P612" t="s">
        <v>1029</v>
      </c>
    </row>
    <row r="613" spans="1:16" x14ac:dyDescent="0.25">
      <c r="A613">
        <v>20055</v>
      </c>
      <c r="B613" t="s">
        <v>391</v>
      </c>
      <c r="C613" t="s">
        <v>183</v>
      </c>
      <c r="D613" t="s">
        <v>1032</v>
      </c>
      <c r="E613" t="s">
        <v>1035</v>
      </c>
      <c r="F613" t="s">
        <v>1011</v>
      </c>
      <c r="G613" t="str">
        <f>UPPER(Table1[[#This Row],[State]])</f>
        <v>GUJARAT</v>
      </c>
      <c r="H613" t="s">
        <v>1016</v>
      </c>
      <c r="I613" t="s">
        <v>913</v>
      </c>
      <c r="J613" t="s">
        <v>1024</v>
      </c>
      <c r="K613">
        <v>5168</v>
      </c>
      <c r="L613" s="1">
        <v>43984</v>
      </c>
      <c r="M613" s="1">
        <v>43985</v>
      </c>
      <c r="N613">
        <v>6</v>
      </c>
      <c r="O613" s="4" cm="1">
        <f t="array" ref="O613">_xlfn.IFS(J613="Dell Inspiron 15",66989,J613="Lenovo IdeaPad Slim 3i",34690,J613="Mi NoteBook Ultra",57999,J613="Samsung Galaxy Go",36990,J613="Acer Aspire 3",38980)</f>
        <v>57999</v>
      </c>
      <c r="P613" t="s">
        <v>1029</v>
      </c>
    </row>
    <row r="614" spans="1:16" x14ac:dyDescent="0.25">
      <c r="A614">
        <v>12706</v>
      </c>
      <c r="B614" t="s">
        <v>434</v>
      </c>
      <c r="C614" t="s">
        <v>429</v>
      </c>
      <c r="D614" t="s">
        <v>1032</v>
      </c>
      <c r="E614" t="s">
        <v>1035</v>
      </c>
      <c r="F614" t="s">
        <v>1011</v>
      </c>
      <c r="G614" t="str">
        <f>UPPER(Table1[[#This Row],[State]])</f>
        <v>GUJARAT</v>
      </c>
      <c r="H614" t="s">
        <v>1016</v>
      </c>
      <c r="I614" t="s">
        <v>914</v>
      </c>
      <c r="J614" t="s">
        <v>1025</v>
      </c>
      <c r="K614">
        <v>4763</v>
      </c>
      <c r="L614" s="1">
        <v>43845</v>
      </c>
      <c r="M614" s="1">
        <v>43847</v>
      </c>
      <c r="N614">
        <v>6</v>
      </c>
      <c r="O614" s="4" cm="1">
        <f t="array" ref="O614">_xlfn.IFS(J614="Dell Inspiron 15",66989,J614="Lenovo IdeaPad Slim 3i",34690,J614="Mi NoteBook Ultra",57999,J614="Samsung Galaxy Go",36990,J614="Acer Aspire 3",38980)</f>
        <v>36990</v>
      </c>
      <c r="P614" t="s">
        <v>1029</v>
      </c>
    </row>
    <row r="615" spans="1:16" x14ac:dyDescent="0.25">
      <c r="A615">
        <v>14458</v>
      </c>
      <c r="B615" t="s">
        <v>529</v>
      </c>
      <c r="C615" t="s">
        <v>471</v>
      </c>
      <c r="D615" t="s">
        <v>1032</v>
      </c>
      <c r="E615" t="s">
        <v>1036</v>
      </c>
      <c r="F615" t="s">
        <v>1012</v>
      </c>
      <c r="G615" t="str">
        <f>UPPER(Table1[[#This Row],[State]])</f>
        <v>DELHI</v>
      </c>
      <c r="H615" t="s">
        <v>1017</v>
      </c>
      <c r="I615" t="s">
        <v>915</v>
      </c>
      <c r="J615" t="s">
        <v>1026</v>
      </c>
      <c r="K615">
        <v>4532</v>
      </c>
      <c r="L615" s="1">
        <v>43906</v>
      </c>
      <c r="M615" s="1">
        <v>43906</v>
      </c>
      <c r="N615">
        <v>2</v>
      </c>
      <c r="O615" s="4" cm="1">
        <f t="array" ref="O615">_xlfn.IFS(J615="Dell Inspiron 15",66989,J615="Lenovo IdeaPad Slim 3i",34690,J615="Mi NoteBook Ultra",57999,J615="Samsung Galaxy Go",36990,J615="Acer Aspire 3",38980)</f>
        <v>38980</v>
      </c>
      <c r="P615" t="s">
        <v>1029</v>
      </c>
    </row>
    <row r="616" spans="1:16" x14ac:dyDescent="0.25">
      <c r="A616">
        <v>23027</v>
      </c>
      <c r="B616" t="s">
        <v>22</v>
      </c>
      <c r="C616" t="s">
        <v>296</v>
      </c>
      <c r="D616" t="s">
        <v>1032</v>
      </c>
      <c r="E616" t="s">
        <v>1035</v>
      </c>
      <c r="F616" t="s">
        <v>1011</v>
      </c>
      <c r="G616" t="str">
        <f>UPPER(Table1[[#This Row],[State]])</f>
        <v>GUJARAT</v>
      </c>
      <c r="H616" t="s">
        <v>1016</v>
      </c>
      <c r="I616" t="s">
        <v>916</v>
      </c>
      <c r="J616" t="s">
        <v>1022</v>
      </c>
      <c r="K616">
        <v>4616</v>
      </c>
      <c r="L616" s="1">
        <v>43902</v>
      </c>
      <c r="M616" s="1">
        <v>43903</v>
      </c>
      <c r="N616">
        <v>10</v>
      </c>
      <c r="O616" s="4" cm="1">
        <f t="array" ref="O616">_xlfn.IFS(J616="Dell Inspiron 15",66989,J616="Lenovo IdeaPad Slim 3i",34690,J616="Mi NoteBook Ultra",57999,J616="Samsung Galaxy Go",36990,J616="Acer Aspire 3",38980)</f>
        <v>66989</v>
      </c>
      <c r="P616" t="s">
        <v>1029</v>
      </c>
    </row>
    <row r="617" spans="1:16" x14ac:dyDescent="0.25">
      <c r="A617">
        <v>22355</v>
      </c>
      <c r="B617" t="s">
        <v>34</v>
      </c>
      <c r="C617" t="s">
        <v>87</v>
      </c>
      <c r="D617" t="s">
        <v>1032</v>
      </c>
      <c r="E617" t="s">
        <v>1035</v>
      </c>
      <c r="F617" t="s">
        <v>1011</v>
      </c>
      <c r="G617" t="str">
        <f>UPPER(Table1[[#This Row],[State]])</f>
        <v>GUJARAT</v>
      </c>
      <c r="H617" t="s">
        <v>1016</v>
      </c>
      <c r="I617" t="s">
        <v>917</v>
      </c>
      <c r="J617" t="s">
        <v>1024</v>
      </c>
      <c r="K617">
        <v>5239</v>
      </c>
      <c r="L617" s="1">
        <v>43944</v>
      </c>
      <c r="M617" s="1">
        <v>43945</v>
      </c>
      <c r="N617">
        <v>9</v>
      </c>
      <c r="O617" s="4" cm="1">
        <f t="array" ref="O617">_xlfn.IFS(J617="Dell Inspiron 15",66989,J617="Lenovo IdeaPad Slim 3i",34690,J617="Mi NoteBook Ultra",57999,J617="Samsung Galaxy Go",36990,J617="Acer Aspire 3",38980)</f>
        <v>57999</v>
      </c>
      <c r="P617" t="s">
        <v>1029</v>
      </c>
    </row>
    <row r="618" spans="1:16" x14ac:dyDescent="0.25">
      <c r="A618">
        <v>12991</v>
      </c>
      <c r="B618" t="s">
        <v>180</v>
      </c>
      <c r="C618" t="s">
        <v>395</v>
      </c>
      <c r="D618" t="s">
        <v>1032</v>
      </c>
      <c r="E618" t="s">
        <v>1036</v>
      </c>
      <c r="F618" t="s">
        <v>1012</v>
      </c>
      <c r="G618" t="str">
        <f>UPPER(Table1[[#This Row],[State]])</f>
        <v>DELHI</v>
      </c>
      <c r="H618" t="s">
        <v>1017</v>
      </c>
      <c r="I618" t="s">
        <v>918</v>
      </c>
      <c r="J618" t="s">
        <v>1026</v>
      </c>
      <c r="K618">
        <v>5003</v>
      </c>
      <c r="L618" s="1">
        <v>43852</v>
      </c>
      <c r="M618" s="1">
        <v>43853</v>
      </c>
      <c r="N618">
        <v>1</v>
      </c>
      <c r="O618" s="4" cm="1">
        <f t="array" ref="O618">_xlfn.IFS(J618="Dell Inspiron 15",66989,J618="Lenovo IdeaPad Slim 3i",34690,J618="Mi NoteBook Ultra",57999,J618="Samsung Galaxy Go",36990,J618="Acer Aspire 3",38980)</f>
        <v>38980</v>
      </c>
      <c r="P618" t="s">
        <v>1029</v>
      </c>
    </row>
    <row r="619" spans="1:16" x14ac:dyDescent="0.25">
      <c r="A619">
        <v>24392</v>
      </c>
      <c r="B619" t="s">
        <v>247</v>
      </c>
      <c r="C619" t="s">
        <v>311</v>
      </c>
      <c r="D619" t="s">
        <v>1032</v>
      </c>
      <c r="E619" t="s">
        <v>1036</v>
      </c>
      <c r="F619" t="s">
        <v>1012</v>
      </c>
      <c r="G619" t="str">
        <f>UPPER(Table1[[#This Row],[State]])</f>
        <v>DELHI</v>
      </c>
      <c r="H619" t="s">
        <v>1017</v>
      </c>
      <c r="I619" t="s">
        <v>919</v>
      </c>
      <c r="J619" t="s">
        <v>1022</v>
      </c>
      <c r="K619">
        <v>4753</v>
      </c>
      <c r="L619" s="1">
        <v>43941</v>
      </c>
      <c r="M619" s="1">
        <v>43943</v>
      </c>
      <c r="N619">
        <v>5</v>
      </c>
      <c r="O619" s="4" cm="1">
        <f t="array" ref="O619">_xlfn.IFS(J619="Dell Inspiron 15",66989,J619="Lenovo IdeaPad Slim 3i",34690,J619="Mi NoteBook Ultra",57999,J619="Samsung Galaxy Go",36990,J619="Acer Aspire 3",38980)</f>
        <v>66989</v>
      </c>
      <c r="P619" t="s">
        <v>1029</v>
      </c>
    </row>
    <row r="620" spans="1:16" x14ac:dyDescent="0.25">
      <c r="A620">
        <v>17987</v>
      </c>
      <c r="B620" t="s">
        <v>308</v>
      </c>
      <c r="C620" t="s">
        <v>746</v>
      </c>
      <c r="D620" t="s">
        <v>1032</v>
      </c>
      <c r="E620" t="s">
        <v>1033</v>
      </c>
      <c r="F620" t="s">
        <v>1009</v>
      </c>
      <c r="G620" t="str">
        <f>UPPER(Table1[[#This Row],[State]])</f>
        <v>BIHAR</v>
      </c>
      <c r="H620" t="s">
        <v>1014</v>
      </c>
      <c r="I620" t="s">
        <v>920</v>
      </c>
      <c r="J620" t="s">
        <v>1023</v>
      </c>
      <c r="K620">
        <v>4919</v>
      </c>
      <c r="L620" s="1">
        <v>43845</v>
      </c>
      <c r="M620" s="1">
        <v>43846</v>
      </c>
      <c r="N620">
        <v>9</v>
      </c>
      <c r="O620" s="4" cm="1">
        <f t="array" ref="O620">_xlfn.IFS(J620="Dell Inspiron 15",66989,J620="Lenovo IdeaPad Slim 3i",34690,J620="Mi NoteBook Ultra",57999,J620="Samsung Galaxy Go",36990,J620="Acer Aspire 3",38980)</f>
        <v>34690</v>
      </c>
      <c r="P620" t="s">
        <v>1029</v>
      </c>
    </row>
    <row r="621" spans="1:16" x14ac:dyDescent="0.25">
      <c r="A621">
        <v>18154</v>
      </c>
      <c r="B621" t="s">
        <v>122</v>
      </c>
      <c r="C621" t="s">
        <v>429</v>
      </c>
      <c r="D621" t="s">
        <v>1032</v>
      </c>
      <c r="E621" t="s">
        <v>1034</v>
      </c>
      <c r="F621" t="s">
        <v>1010</v>
      </c>
      <c r="G621" t="str">
        <f>UPPER(Table1[[#This Row],[State]])</f>
        <v>PUDUCHERRY</v>
      </c>
      <c r="H621" t="s">
        <v>1015</v>
      </c>
      <c r="I621" t="s">
        <v>921</v>
      </c>
      <c r="J621" t="s">
        <v>1022</v>
      </c>
      <c r="K621">
        <v>5310</v>
      </c>
      <c r="L621" s="1">
        <v>43940</v>
      </c>
      <c r="M621" s="1">
        <v>43947</v>
      </c>
      <c r="N621">
        <v>6</v>
      </c>
      <c r="O621" s="4" cm="1">
        <f t="array" ref="O621">_xlfn.IFS(J621="Dell Inspiron 15",66989,J621="Lenovo IdeaPad Slim 3i",34690,J621="Mi NoteBook Ultra",57999,J621="Samsung Galaxy Go",36990,J621="Acer Aspire 3",38980)</f>
        <v>66989</v>
      </c>
      <c r="P621" t="s">
        <v>1029</v>
      </c>
    </row>
    <row r="622" spans="1:16" x14ac:dyDescent="0.25">
      <c r="A622">
        <v>22719</v>
      </c>
      <c r="B622" t="s">
        <v>592</v>
      </c>
      <c r="C622" t="s">
        <v>87</v>
      </c>
      <c r="D622" t="s">
        <v>1032</v>
      </c>
      <c r="E622" t="s">
        <v>1033</v>
      </c>
      <c r="F622" t="s">
        <v>1009</v>
      </c>
      <c r="G622" t="str">
        <f>UPPER(Table1[[#This Row],[State]])</f>
        <v>BIHAR</v>
      </c>
      <c r="H622" t="s">
        <v>1014</v>
      </c>
      <c r="I622" t="s">
        <v>922</v>
      </c>
      <c r="J622" t="s">
        <v>1026</v>
      </c>
      <c r="K622">
        <v>4794</v>
      </c>
      <c r="L622" s="1">
        <v>43919</v>
      </c>
      <c r="M622" s="1">
        <v>43922</v>
      </c>
      <c r="N622">
        <v>2</v>
      </c>
      <c r="O622" s="4" cm="1">
        <f t="array" ref="O622">_xlfn.IFS(J622="Dell Inspiron 15",66989,J622="Lenovo IdeaPad Slim 3i",34690,J622="Mi NoteBook Ultra",57999,J622="Samsung Galaxy Go",36990,J622="Acer Aspire 3",38980)</f>
        <v>38980</v>
      </c>
      <c r="P622" t="s">
        <v>1029</v>
      </c>
    </row>
    <row r="623" spans="1:16" x14ac:dyDescent="0.25">
      <c r="A623">
        <v>24390</v>
      </c>
      <c r="B623" t="s">
        <v>592</v>
      </c>
      <c r="C623" t="s">
        <v>107</v>
      </c>
      <c r="D623" t="s">
        <v>1032</v>
      </c>
      <c r="E623" t="s">
        <v>1035</v>
      </c>
      <c r="F623" t="s">
        <v>1011</v>
      </c>
      <c r="G623" t="str">
        <f>UPPER(Table1[[#This Row],[State]])</f>
        <v>GUJARAT</v>
      </c>
      <c r="H623" t="s">
        <v>1016</v>
      </c>
      <c r="I623" t="s">
        <v>923</v>
      </c>
      <c r="J623" t="s">
        <v>1024</v>
      </c>
      <c r="K623">
        <v>5402</v>
      </c>
      <c r="L623" s="1">
        <v>44000</v>
      </c>
      <c r="M623" s="1">
        <v>44004</v>
      </c>
      <c r="N623">
        <v>6</v>
      </c>
      <c r="O623" s="4" cm="1">
        <f t="array" ref="O623">_xlfn.IFS(J623="Dell Inspiron 15",66989,J623="Lenovo IdeaPad Slim 3i",34690,J623="Mi NoteBook Ultra",57999,J623="Samsung Galaxy Go",36990,J623="Acer Aspire 3",38980)</f>
        <v>57999</v>
      </c>
      <c r="P623" t="s">
        <v>1029</v>
      </c>
    </row>
    <row r="624" spans="1:16" x14ac:dyDescent="0.25">
      <c r="A624">
        <v>22211</v>
      </c>
      <c r="B624" t="s">
        <v>292</v>
      </c>
      <c r="C624" t="s">
        <v>468</v>
      </c>
      <c r="D624" t="s">
        <v>1032</v>
      </c>
      <c r="E624" t="s">
        <v>1035</v>
      </c>
      <c r="F624" t="s">
        <v>1011</v>
      </c>
      <c r="G624" t="str">
        <f>UPPER(Table1[[#This Row],[State]])</f>
        <v>GUJARAT</v>
      </c>
      <c r="H624" t="s">
        <v>1016</v>
      </c>
      <c r="I624" t="s">
        <v>924</v>
      </c>
      <c r="J624" t="s">
        <v>1025</v>
      </c>
      <c r="K624">
        <v>5164</v>
      </c>
      <c r="L624" s="1">
        <v>43965</v>
      </c>
      <c r="M624" s="1">
        <v>43966</v>
      </c>
      <c r="N624">
        <v>4</v>
      </c>
      <c r="O624" s="4" cm="1">
        <f t="array" ref="O624">_xlfn.IFS(J624="Dell Inspiron 15",66989,J624="Lenovo IdeaPad Slim 3i",34690,J624="Mi NoteBook Ultra",57999,J624="Samsung Galaxy Go",36990,J624="Acer Aspire 3",38980)</f>
        <v>36990</v>
      </c>
      <c r="P624" t="s">
        <v>1029</v>
      </c>
    </row>
    <row r="625" spans="1:16" x14ac:dyDescent="0.25">
      <c r="A625">
        <v>17543</v>
      </c>
      <c r="B625" t="s">
        <v>925</v>
      </c>
      <c r="C625" t="s">
        <v>32</v>
      </c>
      <c r="D625" t="s">
        <v>1032</v>
      </c>
      <c r="E625" t="s">
        <v>1036</v>
      </c>
      <c r="F625" t="s">
        <v>1012</v>
      </c>
      <c r="G625" t="str">
        <f>UPPER(Table1[[#This Row],[State]])</f>
        <v>DELHI</v>
      </c>
      <c r="H625" t="s">
        <v>1017</v>
      </c>
      <c r="I625" t="s">
        <v>926</v>
      </c>
      <c r="J625" t="s">
        <v>1026</v>
      </c>
      <c r="K625">
        <v>4614</v>
      </c>
      <c r="L625" s="1">
        <v>43855</v>
      </c>
      <c r="M625" s="1">
        <v>43856</v>
      </c>
      <c r="N625">
        <v>4</v>
      </c>
      <c r="O625" s="4" cm="1">
        <f t="array" ref="O625">_xlfn.IFS(J625="Dell Inspiron 15",66989,J625="Lenovo IdeaPad Slim 3i",34690,J625="Mi NoteBook Ultra",57999,J625="Samsung Galaxy Go",36990,J625="Acer Aspire 3",38980)</f>
        <v>38980</v>
      </c>
      <c r="P625" t="s">
        <v>1029</v>
      </c>
    </row>
    <row r="626" spans="1:16" x14ac:dyDescent="0.25">
      <c r="A626">
        <v>22421</v>
      </c>
      <c r="B626" t="s">
        <v>109</v>
      </c>
      <c r="C626" t="s">
        <v>66</v>
      </c>
      <c r="D626" t="s">
        <v>1032</v>
      </c>
      <c r="E626" t="s">
        <v>1033</v>
      </c>
      <c r="F626" t="s">
        <v>1009</v>
      </c>
      <c r="G626" t="str">
        <f>UPPER(Table1[[#This Row],[State]])</f>
        <v>BIHAR</v>
      </c>
      <c r="H626" t="s">
        <v>1014</v>
      </c>
      <c r="I626" t="s">
        <v>927</v>
      </c>
      <c r="J626" t="s">
        <v>1022</v>
      </c>
      <c r="K626">
        <v>4929</v>
      </c>
      <c r="L626" s="1">
        <v>43832</v>
      </c>
      <c r="M626" s="1">
        <v>43834</v>
      </c>
      <c r="N626">
        <v>3</v>
      </c>
      <c r="O626" s="4" cm="1">
        <f t="array" ref="O626">_xlfn.IFS(J626="Dell Inspiron 15",66989,J626="Lenovo IdeaPad Slim 3i",34690,J626="Mi NoteBook Ultra",57999,J626="Samsung Galaxy Go",36990,J626="Acer Aspire 3",38980)</f>
        <v>66989</v>
      </c>
      <c r="P626" t="s">
        <v>1029</v>
      </c>
    </row>
    <row r="627" spans="1:16" x14ac:dyDescent="0.25">
      <c r="A627">
        <v>15746</v>
      </c>
      <c r="B627" t="s">
        <v>6</v>
      </c>
      <c r="C627" t="s">
        <v>255</v>
      </c>
      <c r="D627" t="s">
        <v>1032</v>
      </c>
      <c r="E627" t="s">
        <v>1035</v>
      </c>
      <c r="F627" t="s">
        <v>1011</v>
      </c>
      <c r="G627" t="str">
        <f>UPPER(Table1[[#This Row],[State]])</f>
        <v>GUJARAT</v>
      </c>
      <c r="H627" t="s">
        <v>1016</v>
      </c>
      <c r="I627" t="s">
        <v>928</v>
      </c>
      <c r="J627" t="s">
        <v>1024</v>
      </c>
      <c r="K627">
        <v>5350</v>
      </c>
      <c r="L627" s="1">
        <v>43832</v>
      </c>
      <c r="M627" s="1">
        <v>43833</v>
      </c>
      <c r="N627">
        <v>8</v>
      </c>
      <c r="O627" s="4" cm="1">
        <f t="array" ref="O627">_xlfn.IFS(J627="Dell Inspiron 15",66989,J627="Lenovo IdeaPad Slim 3i",34690,J627="Mi NoteBook Ultra",57999,J627="Samsung Galaxy Go",36990,J627="Acer Aspire 3",38980)</f>
        <v>57999</v>
      </c>
      <c r="P627" t="s">
        <v>1029</v>
      </c>
    </row>
    <row r="628" spans="1:16" x14ac:dyDescent="0.25">
      <c r="A628">
        <v>22456</v>
      </c>
      <c r="B628" t="s">
        <v>344</v>
      </c>
      <c r="C628" t="s">
        <v>3</v>
      </c>
      <c r="D628" t="s">
        <v>1032</v>
      </c>
      <c r="E628" t="s">
        <v>1036</v>
      </c>
      <c r="F628" t="s">
        <v>1012</v>
      </c>
      <c r="G628" t="str">
        <f>UPPER(Table1[[#This Row],[State]])</f>
        <v>DELHI</v>
      </c>
      <c r="H628" t="s">
        <v>1017</v>
      </c>
      <c r="I628" t="s">
        <v>929</v>
      </c>
      <c r="J628" t="s">
        <v>1026</v>
      </c>
      <c r="K628">
        <v>5147</v>
      </c>
      <c r="L628" s="1">
        <v>43841</v>
      </c>
      <c r="M628" s="1">
        <v>43848</v>
      </c>
      <c r="N628">
        <v>4</v>
      </c>
      <c r="O628" s="4" cm="1">
        <f t="array" ref="O628">_xlfn.IFS(J628="Dell Inspiron 15",66989,J628="Lenovo IdeaPad Slim 3i",34690,J628="Mi NoteBook Ultra",57999,J628="Samsung Galaxy Go",36990,J628="Acer Aspire 3",38980)</f>
        <v>38980</v>
      </c>
      <c r="P628" t="s">
        <v>1029</v>
      </c>
    </row>
    <row r="629" spans="1:16" x14ac:dyDescent="0.25">
      <c r="A629">
        <v>23896</v>
      </c>
      <c r="B629" t="s">
        <v>320</v>
      </c>
      <c r="C629" t="s">
        <v>141</v>
      </c>
      <c r="D629" t="s">
        <v>1032</v>
      </c>
      <c r="E629" t="s">
        <v>1033</v>
      </c>
      <c r="F629" t="s">
        <v>1009</v>
      </c>
      <c r="G629" t="str">
        <f>UPPER(Table1[[#This Row],[State]])</f>
        <v>BIHAR</v>
      </c>
      <c r="H629" t="s">
        <v>1014</v>
      </c>
      <c r="I629" t="s">
        <v>930</v>
      </c>
      <c r="J629" t="s">
        <v>1022</v>
      </c>
      <c r="K629">
        <v>5291</v>
      </c>
      <c r="L629" s="1">
        <v>43833</v>
      </c>
      <c r="M629" s="1">
        <v>43835</v>
      </c>
      <c r="N629">
        <v>10</v>
      </c>
      <c r="O629" s="4" cm="1">
        <f t="array" ref="O629">_xlfn.IFS(J629="Dell Inspiron 15",66989,J629="Lenovo IdeaPad Slim 3i",34690,J629="Mi NoteBook Ultra",57999,J629="Samsung Galaxy Go",36990,J629="Acer Aspire 3",38980)</f>
        <v>66989</v>
      </c>
      <c r="P629" t="s">
        <v>1029</v>
      </c>
    </row>
    <row r="630" spans="1:16" x14ac:dyDescent="0.25">
      <c r="A630">
        <v>17265</v>
      </c>
      <c r="B630" t="s">
        <v>51</v>
      </c>
      <c r="C630" t="s">
        <v>468</v>
      </c>
      <c r="D630" t="s">
        <v>1032</v>
      </c>
      <c r="E630" t="s">
        <v>1036</v>
      </c>
      <c r="F630" t="s">
        <v>1012</v>
      </c>
      <c r="G630" t="str">
        <f>UPPER(Table1[[#This Row],[State]])</f>
        <v>DELHI</v>
      </c>
      <c r="H630" t="s">
        <v>1017</v>
      </c>
      <c r="I630" t="s">
        <v>931</v>
      </c>
      <c r="J630" t="s">
        <v>1023</v>
      </c>
      <c r="K630">
        <v>5235</v>
      </c>
      <c r="L630" s="1">
        <v>43833</v>
      </c>
      <c r="M630" s="1">
        <v>43840</v>
      </c>
      <c r="N630">
        <v>5</v>
      </c>
      <c r="O630" s="4" cm="1">
        <f t="array" ref="O630">_xlfn.IFS(J630="Dell Inspiron 15",66989,J630="Lenovo IdeaPad Slim 3i",34690,J630="Mi NoteBook Ultra",57999,J630="Samsung Galaxy Go",36990,J630="Acer Aspire 3",38980)</f>
        <v>34690</v>
      </c>
      <c r="P630" t="s">
        <v>1029</v>
      </c>
    </row>
    <row r="631" spans="1:16" x14ac:dyDescent="0.25">
      <c r="A631">
        <v>19651</v>
      </c>
      <c r="B631" t="s">
        <v>847</v>
      </c>
      <c r="C631" t="s">
        <v>508</v>
      </c>
      <c r="D631" t="s">
        <v>1032</v>
      </c>
      <c r="E631" t="s">
        <v>1033</v>
      </c>
      <c r="F631" t="s">
        <v>1009</v>
      </c>
      <c r="G631" t="str">
        <f>UPPER(Table1[[#This Row],[State]])</f>
        <v>BIHAR</v>
      </c>
      <c r="H631" t="s">
        <v>1014</v>
      </c>
      <c r="I631" t="s">
        <v>932</v>
      </c>
      <c r="J631" t="s">
        <v>1022</v>
      </c>
      <c r="K631">
        <v>4811</v>
      </c>
      <c r="L631" s="1">
        <v>43833</v>
      </c>
      <c r="M631" s="1">
        <v>43837</v>
      </c>
      <c r="N631">
        <v>4</v>
      </c>
      <c r="O631" s="4" cm="1">
        <f t="array" ref="O631">_xlfn.IFS(J631="Dell Inspiron 15",66989,J631="Lenovo IdeaPad Slim 3i",34690,J631="Mi NoteBook Ultra",57999,J631="Samsung Galaxy Go",36990,J631="Acer Aspire 3",38980)</f>
        <v>66989</v>
      </c>
      <c r="P631" t="s">
        <v>1029</v>
      </c>
    </row>
    <row r="632" spans="1:16" x14ac:dyDescent="0.25">
      <c r="A632">
        <v>24650</v>
      </c>
      <c r="B632" t="s">
        <v>112</v>
      </c>
      <c r="C632" t="s">
        <v>90</v>
      </c>
      <c r="D632" t="s">
        <v>1032</v>
      </c>
      <c r="E632" t="s">
        <v>1034</v>
      </c>
      <c r="F632" t="s">
        <v>1010</v>
      </c>
      <c r="G632" t="str">
        <f>UPPER(Table1[[#This Row],[State]])</f>
        <v>PUDUCHERRY</v>
      </c>
      <c r="H632" t="s">
        <v>1015</v>
      </c>
      <c r="I632" t="s">
        <v>933</v>
      </c>
      <c r="J632" t="s">
        <v>1023</v>
      </c>
      <c r="K632">
        <v>5242</v>
      </c>
      <c r="L632" s="1">
        <v>43934</v>
      </c>
      <c r="M632" s="1">
        <v>43936</v>
      </c>
      <c r="N632">
        <v>5</v>
      </c>
      <c r="O632" s="4" cm="1">
        <f t="array" ref="O632">_xlfn.IFS(J632="Dell Inspiron 15",66989,J632="Lenovo IdeaPad Slim 3i",34690,J632="Mi NoteBook Ultra",57999,J632="Samsung Galaxy Go",36990,J632="Acer Aspire 3",38980)</f>
        <v>34690</v>
      </c>
      <c r="P632" t="s">
        <v>1029</v>
      </c>
    </row>
    <row r="633" spans="1:16" x14ac:dyDescent="0.25">
      <c r="A633">
        <v>25533</v>
      </c>
      <c r="B633" t="s">
        <v>89</v>
      </c>
      <c r="C633" t="s">
        <v>384</v>
      </c>
      <c r="D633" t="s">
        <v>1032</v>
      </c>
      <c r="E633" t="s">
        <v>1033</v>
      </c>
      <c r="F633" t="s">
        <v>1009</v>
      </c>
      <c r="G633" t="str">
        <f>UPPER(Table1[[#This Row],[State]])</f>
        <v>BIHAR</v>
      </c>
      <c r="H633" t="s">
        <v>1014</v>
      </c>
      <c r="I633" t="s">
        <v>934</v>
      </c>
      <c r="J633" t="s">
        <v>1024</v>
      </c>
      <c r="K633">
        <v>5458</v>
      </c>
      <c r="L633" s="1">
        <v>43882</v>
      </c>
      <c r="M633" s="1">
        <v>43882</v>
      </c>
      <c r="N633">
        <v>7</v>
      </c>
      <c r="O633" s="4" cm="1">
        <f t="array" ref="O633">_xlfn.IFS(J633="Dell Inspiron 15",66989,J633="Lenovo IdeaPad Slim 3i",34690,J633="Mi NoteBook Ultra",57999,J633="Samsung Galaxy Go",36990,J633="Acer Aspire 3",38980)</f>
        <v>57999</v>
      </c>
      <c r="P633" t="s">
        <v>1029</v>
      </c>
    </row>
    <row r="634" spans="1:16" x14ac:dyDescent="0.25">
      <c r="A634">
        <v>19944</v>
      </c>
      <c r="B634" t="s">
        <v>158</v>
      </c>
      <c r="C634" t="s">
        <v>277</v>
      </c>
      <c r="D634" t="s">
        <v>1032</v>
      </c>
      <c r="E634" t="s">
        <v>1035</v>
      </c>
      <c r="F634" t="s">
        <v>1011</v>
      </c>
      <c r="G634" t="str">
        <f>UPPER(Table1[[#This Row],[State]])</f>
        <v>GUJARAT</v>
      </c>
      <c r="H634" t="s">
        <v>1016</v>
      </c>
      <c r="I634" t="s">
        <v>935</v>
      </c>
      <c r="J634" t="s">
        <v>1025</v>
      </c>
      <c r="K634">
        <v>5507</v>
      </c>
      <c r="L634" s="1">
        <v>43973</v>
      </c>
      <c r="M634" s="1">
        <v>43974</v>
      </c>
      <c r="N634">
        <v>7</v>
      </c>
      <c r="O634" s="4" cm="1">
        <f t="array" ref="O634">_xlfn.IFS(J634="Dell Inspiron 15",66989,J634="Lenovo IdeaPad Slim 3i",34690,J634="Mi NoteBook Ultra",57999,J634="Samsung Galaxy Go",36990,J634="Acer Aspire 3",38980)</f>
        <v>36990</v>
      </c>
      <c r="P634" t="s">
        <v>1029</v>
      </c>
    </row>
    <row r="635" spans="1:16" x14ac:dyDescent="0.25">
      <c r="A635">
        <v>19940</v>
      </c>
      <c r="B635" t="s">
        <v>61</v>
      </c>
      <c r="C635" t="s">
        <v>272</v>
      </c>
      <c r="D635" t="s">
        <v>1032</v>
      </c>
      <c r="E635" t="s">
        <v>1033</v>
      </c>
      <c r="F635" t="s">
        <v>1009</v>
      </c>
      <c r="G635" t="str">
        <f>UPPER(Table1[[#This Row],[State]])</f>
        <v>BIHAR</v>
      </c>
      <c r="H635" t="s">
        <v>1014</v>
      </c>
      <c r="I635" t="s">
        <v>936</v>
      </c>
      <c r="J635" t="s">
        <v>1026</v>
      </c>
      <c r="K635">
        <v>5401</v>
      </c>
      <c r="L635" s="1">
        <v>43882</v>
      </c>
      <c r="M635" s="1">
        <v>43882</v>
      </c>
      <c r="N635">
        <v>4</v>
      </c>
      <c r="O635" s="4" cm="1">
        <f t="array" ref="O635">_xlfn.IFS(J635="Dell Inspiron 15",66989,J635="Lenovo IdeaPad Slim 3i",34690,J635="Mi NoteBook Ultra",57999,J635="Samsung Galaxy Go",36990,J635="Acer Aspire 3",38980)</f>
        <v>38980</v>
      </c>
      <c r="P635" t="s">
        <v>1029</v>
      </c>
    </row>
    <row r="636" spans="1:16" x14ac:dyDescent="0.25">
      <c r="A636">
        <v>21350</v>
      </c>
      <c r="B636" t="s">
        <v>109</v>
      </c>
      <c r="C636" t="s">
        <v>849</v>
      </c>
      <c r="D636" t="s">
        <v>1032</v>
      </c>
      <c r="E636" t="s">
        <v>1034</v>
      </c>
      <c r="F636" t="s">
        <v>1010</v>
      </c>
      <c r="G636" t="str">
        <f>UPPER(Table1[[#This Row],[State]])</f>
        <v>PUDUCHERRY</v>
      </c>
      <c r="H636" t="s">
        <v>1015</v>
      </c>
      <c r="I636" t="s">
        <v>937</v>
      </c>
      <c r="J636" t="s">
        <v>1022</v>
      </c>
      <c r="K636">
        <v>4665</v>
      </c>
      <c r="L636" s="1">
        <v>43973</v>
      </c>
      <c r="M636" s="1">
        <v>43973</v>
      </c>
      <c r="N636">
        <v>2</v>
      </c>
      <c r="O636" s="4" cm="1">
        <f t="array" ref="O636">_xlfn.IFS(J636="Dell Inspiron 15",66989,J636="Lenovo IdeaPad Slim 3i",34690,J636="Mi NoteBook Ultra",57999,J636="Samsung Galaxy Go",36990,J636="Acer Aspire 3",38980)</f>
        <v>66989</v>
      </c>
      <c r="P636" t="s">
        <v>1029</v>
      </c>
    </row>
    <row r="637" spans="1:16" x14ac:dyDescent="0.25">
      <c r="A637">
        <v>24231</v>
      </c>
      <c r="B637" t="s">
        <v>382</v>
      </c>
      <c r="C637" t="s">
        <v>125</v>
      </c>
      <c r="D637" t="s">
        <v>1032</v>
      </c>
      <c r="E637" t="s">
        <v>1033</v>
      </c>
      <c r="F637" t="s">
        <v>1009</v>
      </c>
      <c r="G637" t="str">
        <f>UPPER(Table1[[#This Row],[State]])</f>
        <v>BIHAR</v>
      </c>
      <c r="H637" t="s">
        <v>1014</v>
      </c>
      <c r="I637" t="s">
        <v>938</v>
      </c>
      <c r="J637" t="s">
        <v>1024</v>
      </c>
      <c r="K637">
        <v>5251</v>
      </c>
      <c r="L637" s="1">
        <v>43973</v>
      </c>
      <c r="M637" s="1">
        <v>43974</v>
      </c>
      <c r="N637">
        <v>2</v>
      </c>
      <c r="O637" s="4" cm="1">
        <f t="array" ref="O637">_xlfn.IFS(J637="Dell Inspiron 15",66989,J637="Lenovo IdeaPad Slim 3i",34690,J637="Mi NoteBook Ultra",57999,J637="Samsung Galaxy Go",36990,J637="Acer Aspire 3",38980)</f>
        <v>57999</v>
      </c>
      <c r="P637" t="s">
        <v>1029</v>
      </c>
    </row>
    <row r="638" spans="1:16" x14ac:dyDescent="0.25">
      <c r="A638">
        <v>21528</v>
      </c>
      <c r="B638" t="s">
        <v>130</v>
      </c>
      <c r="C638" t="s">
        <v>512</v>
      </c>
      <c r="D638" t="s">
        <v>1032</v>
      </c>
      <c r="E638" t="s">
        <v>1035</v>
      </c>
      <c r="F638" t="s">
        <v>1011</v>
      </c>
      <c r="G638" t="str">
        <f>UPPER(Table1[[#This Row],[State]])</f>
        <v>GUJARAT</v>
      </c>
      <c r="H638" t="s">
        <v>1016</v>
      </c>
      <c r="I638" t="s">
        <v>939</v>
      </c>
      <c r="J638" t="s">
        <v>1026</v>
      </c>
      <c r="K638">
        <v>5406</v>
      </c>
      <c r="L638" s="1">
        <v>43873</v>
      </c>
      <c r="M638" s="1">
        <v>43874</v>
      </c>
      <c r="N638">
        <v>4</v>
      </c>
      <c r="O638" s="4" cm="1">
        <f t="array" ref="O638">_xlfn.IFS(J638="Dell Inspiron 15",66989,J638="Lenovo IdeaPad Slim 3i",34690,J638="Mi NoteBook Ultra",57999,J638="Samsung Galaxy Go",36990,J638="Acer Aspire 3",38980)</f>
        <v>38980</v>
      </c>
      <c r="P638" t="s">
        <v>1029</v>
      </c>
    </row>
    <row r="639" spans="1:16" x14ac:dyDescent="0.25">
      <c r="A639">
        <v>15891</v>
      </c>
      <c r="B639" t="s">
        <v>28</v>
      </c>
      <c r="C639" t="s">
        <v>611</v>
      </c>
      <c r="D639" t="s">
        <v>1032</v>
      </c>
      <c r="E639" t="s">
        <v>1035</v>
      </c>
      <c r="F639" t="s">
        <v>1011</v>
      </c>
      <c r="G639" t="str">
        <f>UPPER(Table1[[#This Row],[State]])</f>
        <v>GUJARAT</v>
      </c>
      <c r="H639" t="s">
        <v>1016</v>
      </c>
      <c r="I639" t="s">
        <v>940</v>
      </c>
      <c r="J639" t="s">
        <v>1022</v>
      </c>
      <c r="K639">
        <v>4616</v>
      </c>
      <c r="L639" s="1">
        <v>43873</v>
      </c>
      <c r="M639" s="1">
        <v>43876</v>
      </c>
      <c r="N639">
        <v>4</v>
      </c>
      <c r="O639" s="4" cm="1">
        <f t="array" ref="O639">_xlfn.IFS(J639="Dell Inspiron 15",66989,J639="Lenovo IdeaPad Slim 3i",34690,J639="Mi NoteBook Ultra",57999,J639="Samsung Galaxy Go",36990,J639="Acer Aspire 3",38980)</f>
        <v>66989</v>
      </c>
      <c r="P639" t="s">
        <v>1029</v>
      </c>
    </row>
    <row r="640" spans="1:16" x14ac:dyDescent="0.25">
      <c r="A640">
        <v>16483</v>
      </c>
      <c r="B640" t="s">
        <v>318</v>
      </c>
      <c r="C640" t="s">
        <v>941</v>
      </c>
      <c r="D640" t="s">
        <v>1032</v>
      </c>
      <c r="E640" t="s">
        <v>1035</v>
      </c>
      <c r="F640" t="s">
        <v>1011</v>
      </c>
      <c r="G640" t="str">
        <f>UPPER(Table1[[#This Row],[State]])</f>
        <v>GUJARAT</v>
      </c>
      <c r="H640" t="s">
        <v>1016</v>
      </c>
      <c r="I640" t="s">
        <v>942</v>
      </c>
      <c r="J640" t="s">
        <v>1023</v>
      </c>
      <c r="K640">
        <v>5463</v>
      </c>
      <c r="L640" s="1">
        <v>43930</v>
      </c>
      <c r="M640" s="1">
        <v>43932</v>
      </c>
      <c r="N640">
        <v>2</v>
      </c>
      <c r="O640" s="4" cm="1">
        <f t="array" ref="O640">_xlfn.IFS(J640="Dell Inspiron 15",66989,J640="Lenovo IdeaPad Slim 3i",34690,J640="Mi NoteBook Ultra",57999,J640="Samsung Galaxy Go",36990,J640="Acer Aspire 3",38980)</f>
        <v>34690</v>
      </c>
      <c r="P640" t="s">
        <v>1029</v>
      </c>
    </row>
    <row r="641" spans="1:16" x14ac:dyDescent="0.25">
      <c r="A641">
        <v>14754</v>
      </c>
      <c r="B641" t="s">
        <v>333</v>
      </c>
      <c r="C641" t="s">
        <v>646</v>
      </c>
      <c r="D641" t="s">
        <v>1032</v>
      </c>
      <c r="E641" t="s">
        <v>1035</v>
      </c>
      <c r="F641" t="s">
        <v>1011</v>
      </c>
      <c r="G641" t="str">
        <f>UPPER(Table1[[#This Row],[State]])</f>
        <v>GUJARAT</v>
      </c>
      <c r="H641" t="s">
        <v>1016</v>
      </c>
      <c r="I641" t="s">
        <v>943</v>
      </c>
      <c r="J641" t="s">
        <v>1025</v>
      </c>
      <c r="K641">
        <v>4790</v>
      </c>
      <c r="L641" s="1">
        <v>43930</v>
      </c>
      <c r="M641" s="1">
        <v>43930</v>
      </c>
      <c r="N641">
        <v>1</v>
      </c>
      <c r="O641" s="4" cm="1">
        <f t="array" ref="O641">_xlfn.IFS(J641="Dell Inspiron 15",66989,J641="Lenovo IdeaPad Slim 3i",34690,J641="Mi NoteBook Ultra",57999,J641="Samsung Galaxy Go",36990,J641="Acer Aspire 3",38980)</f>
        <v>36990</v>
      </c>
      <c r="P641" t="s">
        <v>1029</v>
      </c>
    </row>
    <row r="642" spans="1:16" x14ac:dyDescent="0.25">
      <c r="A642">
        <v>21693</v>
      </c>
      <c r="B642" t="s">
        <v>31</v>
      </c>
      <c r="C642" t="s">
        <v>944</v>
      </c>
      <c r="D642" t="s">
        <v>1032</v>
      </c>
      <c r="E642" t="s">
        <v>1036</v>
      </c>
      <c r="F642" t="s">
        <v>1012</v>
      </c>
      <c r="G642" t="str">
        <f>UPPER(Table1[[#This Row],[State]])</f>
        <v>DELHI</v>
      </c>
      <c r="H642" t="s">
        <v>1017</v>
      </c>
      <c r="I642" t="s">
        <v>945</v>
      </c>
      <c r="J642" t="s">
        <v>1022</v>
      </c>
      <c r="K642">
        <v>5263</v>
      </c>
      <c r="L642" s="1">
        <v>43930</v>
      </c>
      <c r="M642" s="1">
        <v>43931</v>
      </c>
      <c r="N642">
        <v>3</v>
      </c>
      <c r="O642" s="4" cm="1">
        <f t="array" ref="O642">_xlfn.IFS(J642="Dell Inspiron 15",66989,J642="Lenovo IdeaPad Slim 3i",34690,J642="Mi NoteBook Ultra",57999,J642="Samsung Galaxy Go",36990,J642="Acer Aspire 3",38980)</f>
        <v>66989</v>
      </c>
      <c r="P642" t="s">
        <v>1029</v>
      </c>
    </row>
    <row r="643" spans="1:16" x14ac:dyDescent="0.25">
      <c r="A643">
        <v>15346</v>
      </c>
      <c r="B643" t="s">
        <v>51</v>
      </c>
      <c r="C643" t="s">
        <v>437</v>
      </c>
      <c r="D643" t="s">
        <v>1032</v>
      </c>
      <c r="E643" t="s">
        <v>1033</v>
      </c>
      <c r="F643" t="s">
        <v>1009</v>
      </c>
      <c r="G643" t="str">
        <f>UPPER(Table1[[#This Row],[State]])</f>
        <v>BIHAR</v>
      </c>
      <c r="H643" t="s">
        <v>1014</v>
      </c>
      <c r="I643" t="s">
        <v>946</v>
      </c>
      <c r="J643" t="s">
        <v>1026</v>
      </c>
      <c r="K643">
        <v>5148</v>
      </c>
      <c r="L643" s="1">
        <v>43833</v>
      </c>
      <c r="M643" s="1">
        <v>43835</v>
      </c>
      <c r="N643">
        <v>6</v>
      </c>
      <c r="O643" s="4" cm="1">
        <f t="array" ref="O643">_xlfn.IFS(J643="Dell Inspiron 15",66989,J643="Lenovo IdeaPad Slim 3i",34690,J643="Mi NoteBook Ultra",57999,J643="Samsung Galaxy Go",36990,J643="Acer Aspire 3",38980)</f>
        <v>38980</v>
      </c>
      <c r="P643" t="s">
        <v>1029</v>
      </c>
    </row>
    <row r="644" spans="1:16" x14ac:dyDescent="0.25">
      <c r="A644">
        <v>22330</v>
      </c>
      <c r="B644" t="s">
        <v>464</v>
      </c>
      <c r="C644" t="s">
        <v>107</v>
      </c>
      <c r="D644" t="s">
        <v>1032</v>
      </c>
      <c r="E644" t="s">
        <v>1034</v>
      </c>
      <c r="F644" t="s">
        <v>1010</v>
      </c>
      <c r="G644" t="str">
        <f>UPPER(Table1[[#This Row],[State]])</f>
        <v>PUDUCHERRY</v>
      </c>
      <c r="H644" t="s">
        <v>1015</v>
      </c>
      <c r="I644" t="s">
        <v>947</v>
      </c>
      <c r="J644" t="s">
        <v>1024</v>
      </c>
      <c r="K644">
        <v>5381</v>
      </c>
      <c r="L644" s="1">
        <v>43920</v>
      </c>
      <c r="M644" s="1">
        <v>43922</v>
      </c>
      <c r="N644">
        <v>8</v>
      </c>
      <c r="O644" s="4" cm="1">
        <f t="array" ref="O644">_xlfn.IFS(J644="Dell Inspiron 15",66989,J644="Lenovo IdeaPad Slim 3i",34690,J644="Mi NoteBook Ultra",57999,J644="Samsung Galaxy Go",36990,J644="Acer Aspire 3",38980)</f>
        <v>57999</v>
      </c>
      <c r="P644" t="s">
        <v>1029</v>
      </c>
    </row>
    <row r="645" spans="1:16" x14ac:dyDescent="0.25">
      <c r="A645">
        <v>14177</v>
      </c>
      <c r="B645" t="s">
        <v>536</v>
      </c>
      <c r="C645" t="s">
        <v>196</v>
      </c>
      <c r="D645" t="s">
        <v>1032</v>
      </c>
      <c r="E645" t="s">
        <v>1033</v>
      </c>
      <c r="F645" t="s">
        <v>1009</v>
      </c>
      <c r="G645" t="str">
        <f>UPPER(Table1[[#This Row],[State]])</f>
        <v>BIHAR</v>
      </c>
      <c r="H645" t="s">
        <v>1014</v>
      </c>
      <c r="I645" t="s">
        <v>948</v>
      </c>
      <c r="J645" t="s">
        <v>1025</v>
      </c>
      <c r="K645">
        <v>4907</v>
      </c>
      <c r="L645" s="1">
        <v>43840</v>
      </c>
      <c r="M645" s="1">
        <v>43841</v>
      </c>
      <c r="N645">
        <v>1</v>
      </c>
      <c r="O645" s="4" cm="1">
        <f t="array" ref="O645">_xlfn.IFS(J645="Dell Inspiron 15",66989,J645="Lenovo IdeaPad Slim 3i",34690,J645="Mi NoteBook Ultra",57999,J645="Samsung Galaxy Go",36990,J645="Acer Aspire 3",38980)</f>
        <v>36990</v>
      </c>
      <c r="P645" t="s">
        <v>1029</v>
      </c>
    </row>
    <row r="646" spans="1:16" x14ac:dyDescent="0.25">
      <c r="A646">
        <v>22689</v>
      </c>
      <c r="B646" t="s">
        <v>344</v>
      </c>
      <c r="C646" t="s">
        <v>414</v>
      </c>
      <c r="D646" t="s">
        <v>1032</v>
      </c>
      <c r="E646" t="s">
        <v>1035</v>
      </c>
      <c r="F646" t="s">
        <v>1011</v>
      </c>
      <c r="G646" t="str">
        <f>UPPER(Table1[[#This Row],[State]])</f>
        <v>GUJARAT</v>
      </c>
      <c r="H646" t="s">
        <v>1016</v>
      </c>
      <c r="I646" t="s">
        <v>949</v>
      </c>
      <c r="J646" t="s">
        <v>1026</v>
      </c>
      <c r="K646">
        <v>5232</v>
      </c>
      <c r="L646" s="1">
        <v>43920</v>
      </c>
      <c r="M646" s="1">
        <v>43922</v>
      </c>
      <c r="N646">
        <v>1</v>
      </c>
      <c r="O646" s="4" cm="1">
        <f t="array" ref="O646">_xlfn.IFS(J646="Dell Inspiron 15",66989,J646="Lenovo IdeaPad Slim 3i",34690,J646="Mi NoteBook Ultra",57999,J646="Samsung Galaxy Go",36990,J646="Acer Aspire 3",38980)</f>
        <v>38980</v>
      </c>
      <c r="P646" t="s">
        <v>1029</v>
      </c>
    </row>
    <row r="647" spans="1:16" x14ac:dyDescent="0.25">
      <c r="A647">
        <v>21851</v>
      </c>
      <c r="B647" t="s">
        <v>100</v>
      </c>
      <c r="C647" t="s">
        <v>471</v>
      </c>
      <c r="D647" t="s">
        <v>1032</v>
      </c>
      <c r="E647" t="s">
        <v>1035</v>
      </c>
      <c r="F647" t="s">
        <v>1011</v>
      </c>
      <c r="G647" t="str">
        <f>UPPER(Table1[[#This Row],[State]])</f>
        <v>GUJARAT</v>
      </c>
      <c r="H647" t="s">
        <v>1016</v>
      </c>
      <c r="I647" t="s">
        <v>950</v>
      </c>
      <c r="J647" t="s">
        <v>1022</v>
      </c>
      <c r="K647">
        <v>5099</v>
      </c>
      <c r="L647" s="1">
        <v>43923</v>
      </c>
      <c r="M647" s="1">
        <v>43925</v>
      </c>
      <c r="N647">
        <v>5</v>
      </c>
      <c r="O647" s="4" cm="1">
        <f t="array" ref="O647">_xlfn.IFS(J647="Dell Inspiron 15",66989,J647="Lenovo IdeaPad Slim 3i",34690,J647="Mi NoteBook Ultra",57999,J647="Samsung Galaxy Go",36990,J647="Acer Aspire 3",38980)</f>
        <v>66989</v>
      </c>
      <c r="P647" t="s">
        <v>1029</v>
      </c>
    </row>
    <row r="648" spans="1:16" x14ac:dyDescent="0.25">
      <c r="A648">
        <v>18530</v>
      </c>
      <c r="B648" t="s">
        <v>147</v>
      </c>
      <c r="C648" t="s">
        <v>80</v>
      </c>
      <c r="D648" t="s">
        <v>1032</v>
      </c>
      <c r="E648" t="s">
        <v>1036</v>
      </c>
      <c r="F648" t="s">
        <v>1012</v>
      </c>
      <c r="G648" t="str">
        <f>UPPER(Table1[[#This Row],[State]])</f>
        <v>DELHI</v>
      </c>
      <c r="H648" t="s">
        <v>1017</v>
      </c>
      <c r="I648" t="s">
        <v>951</v>
      </c>
      <c r="J648" t="s">
        <v>1024</v>
      </c>
      <c r="K648">
        <v>4636</v>
      </c>
      <c r="L648" s="1">
        <v>43923</v>
      </c>
      <c r="M648" s="1">
        <v>43925</v>
      </c>
      <c r="N648">
        <v>7</v>
      </c>
      <c r="O648" s="4" cm="1">
        <f t="array" ref="O648">_xlfn.IFS(J648="Dell Inspiron 15",66989,J648="Lenovo IdeaPad Slim 3i",34690,J648="Mi NoteBook Ultra",57999,J648="Samsung Galaxy Go",36990,J648="Acer Aspire 3",38980)</f>
        <v>57999</v>
      </c>
      <c r="P648" t="s">
        <v>1029</v>
      </c>
    </row>
    <row r="649" spans="1:16" x14ac:dyDescent="0.25">
      <c r="A649">
        <v>22417</v>
      </c>
      <c r="B649" t="s">
        <v>46</v>
      </c>
      <c r="C649" t="s">
        <v>69</v>
      </c>
      <c r="D649" t="s">
        <v>1032</v>
      </c>
      <c r="E649" t="s">
        <v>1033</v>
      </c>
      <c r="F649" t="s">
        <v>1009</v>
      </c>
      <c r="G649" t="str">
        <f>UPPER(Table1[[#This Row],[State]])</f>
        <v>BIHAR</v>
      </c>
      <c r="H649" t="s">
        <v>1014</v>
      </c>
      <c r="I649" t="s">
        <v>952</v>
      </c>
      <c r="J649" t="s">
        <v>1026</v>
      </c>
      <c r="K649">
        <v>4805</v>
      </c>
      <c r="L649" s="1">
        <v>43948</v>
      </c>
      <c r="M649" s="1">
        <v>43949</v>
      </c>
      <c r="N649">
        <v>4</v>
      </c>
      <c r="O649" s="4" cm="1">
        <f t="array" ref="O649">_xlfn.IFS(J649="Dell Inspiron 15",66989,J649="Lenovo IdeaPad Slim 3i",34690,J649="Mi NoteBook Ultra",57999,J649="Samsung Galaxy Go",36990,J649="Acer Aspire 3",38980)</f>
        <v>38980</v>
      </c>
      <c r="P649" t="s">
        <v>1029</v>
      </c>
    </row>
    <row r="650" spans="1:16" x14ac:dyDescent="0.25">
      <c r="A650">
        <v>21259</v>
      </c>
      <c r="B650" t="s">
        <v>177</v>
      </c>
      <c r="C650" t="s">
        <v>508</v>
      </c>
      <c r="D650" t="s">
        <v>1032</v>
      </c>
      <c r="E650" t="s">
        <v>1034</v>
      </c>
      <c r="F650" t="s">
        <v>1010</v>
      </c>
      <c r="G650" t="str">
        <f>UPPER(Table1[[#This Row],[State]])</f>
        <v>PUDUCHERRY</v>
      </c>
      <c r="H650" t="s">
        <v>1015</v>
      </c>
      <c r="I650" t="s">
        <v>953</v>
      </c>
      <c r="J650" t="s">
        <v>1022</v>
      </c>
      <c r="K650">
        <v>5000</v>
      </c>
      <c r="L650" s="1">
        <v>43846</v>
      </c>
      <c r="M650" s="1">
        <v>43848</v>
      </c>
      <c r="N650">
        <v>3</v>
      </c>
      <c r="O650" s="4" cm="1">
        <f t="array" ref="O650">_xlfn.IFS(J650="Dell Inspiron 15",66989,J650="Lenovo IdeaPad Slim 3i",34690,J650="Mi NoteBook Ultra",57999,J650="Samsung Galaxy Go",36990,J650="Acer Aspire 3",38980)</f>
        <v>66989</v>
      </c>
      <c r="P650" t="s">
        <v>1029</v>
      </c>
    </row>
    <row r="651" spans="1:16" x14ac:dyDescent="0.25">
      <c r="A651">
        <v>22758</v>
      </c>
      <c r="B651" t="s">
        <v>295</v>
      </c>
      <c r="C651" t="s">
        <v>300</v>
      </c>
      <c r="D651" t="s">
        <v>1032</v>
      </c>
      <c r="E651" t="s">
        <v>1033</v>
      </c>
      <c r="F651" t="s">
        <v>1009</v>
      </c>
      <c r="G651" t="str">
        <f>UPPER(Table1[[#This Row],[State]])</f>
        <v>BIHAR</v>
      </c>
      <c r="H651" t="s">
        <v>1014</v>
      </c>
      <c r="I651" t="s">
        <v>954</v>
      </c>
      <c r="J651" t="s">
        <v>1023</v>
      </c>
      <c r="K651">
        <v>5173</v>
      </c>
      <c r="L651" s="1">
        <v>43847</v>
      </c>
      <c r="M651" s="1">
        <v>43851</v>
      </c>
      <c r="N651">
        <v>5</v>
      </c>
      <c r="O651" s="4" cm="1">
        <f t="array" ref="O651">_xlfn.IFS(J651="Dell Inspiron 15",66989,J651="Lenovo IdeaPad Slim 3i",34690,J651="Mi NoteBook Ultra",57999,J651="Samsung Galaxy Go",36990,J651="Acer Aspire 3",38980)</f>
        <v>34690</v>
      </c>
      <c r="P651" t="s">
        <v>1029</v>
      </c>
    </row>
    <row r="652" spans="1:16" x14ac:dyDescent="0.25">
      <c r="A652">
        <v>20672</v>
      </c>
      <c r="B652" t="s">
        <v>346</v>
      </c>
      <c r="C652" t="s">
        <v>139</v>
      </c>
      <c r="D652" t="s">
        <v>1032</v>
      </c>
      <c r="E652" t="s">
        <v>1035</v>
      </c>
      <c r="F652" t="s">
        <v>1011</v>
      </c>
      <c r="G652" t="str">
        <f>UPPER(Table1[[#This Row],[State]])</f>
        <v>GUJARAT</v>
      </c>
      <c r="H652" t="s">
        <v>1016</v>
      </c>
      <c r="I652" t="s">
        <v>955</v>
      </c>
      <c r="J652" t="s">
        <v>1024</v>
      </c>
      <c r="K652">
        <v>5439</v>
      </c>
      <c r="L652" s="1">
        <v>43984</v>
      </c>
      <c r="M652" s="1">
        <v>43984</v>
      </c>
      <c r="N652">
        <v>1</v>
      </c>
      <c r="O652" s="4" cm="1">
        <f t="array" ref="O652">_xlfn.IFS(J652="Dell Inspiron 15",66989,J652="Lenovo IdeaPad Slim 3i",34690,J652="Mi NoteBook Ultra",57999,J652="Samsung Galaxy Go",36990,J652="Acer Aspire 3",38980)</f>
        <v>57999</v>
      </c>
      <c r="P652" t="s">
        <v>1029</v>
      </c>
    </row>
    <row r="653" spans="1:16" x14ac:dyDescent="0.25">
      <c r="A653">
        <v>15363</v>
      </c>
      <c r="B653" t="s">
        <v>507</v>
      </c>
      <c r="C653" t="s">
        <v>159</v>
      </c>
      <c r="D653" t="s">
        <v>1032</v>
      </c>
      <c r="E653" t="s">
        <v>1035</v>
      </c>
      <c r="F653" t="s">
        <v>1011</v>
      </c>
      <c r="G653" t="str">
        <f>UPPER(Table1[[#This Row],[State]])</f>
        <v>GUJARAT</v>
      </c>
      <c r="H653" t="s">
        <v>1016</v>
      </c>
      <c r="I653" t="s">
        <v>956</v>
      </c>
      <c r="J653" t="s">
        <v>1025</v>
      </c>
      <c r="K653">
        <v>4774</v>
      </c>
      <c r="L653" s="1">
        <v>43984</v>
      </c>
      <c r="M653" s="1">
        <v>43984</v>
      </c>
      <c r="N653">
        <v>9</v>
      </c>
      <c r="O653" s="4" cm="1">
        <f t="array" ref="O653">_xlfn.IFS(J653="Dell Inspiron 15",66989,J653="Lenovo IdeaPad Slim 3i",34690,J653="Mi NoteBook Ultra",57999,J653="Samsung Galaxy Go",36990,J653="Acer Aspire 3",38980)</f>
        <v>36990</v>
      </c>
      <c r="P653" t="s">
        <v>1029</v>
      </c>
    </row>
    <row r="654" spans="1:16" x14ac:dyDescent="0.25">
      <c r="A654">
        <v>17457</v>
      </c>
      <c r="B654" t="s">
        <v>150</v>
      </c>
      <c r="C654" t="s">
        <v>302</v>
      </c>
      <c r="D654" t="s">
        <v>1032</v>
      </c>
      <c r="E654" t="s">
        <v>1035</v>
      </c>
      <c r="F654" t="s">
        <v>1011</v>
      </c>
      <c r="G654" t="str">
        <f>UPPER(Table1[[#This Row],[State]])</f>
        <v>GUJARAT</v>
      </c>
      <c r="H654" t="s">
        <v>1016</v>
      </c>
      <c r="I654" t="s">
        <v>957</v>
      </c>
      <c r="J654" t="s">
        <v>1026</v>
      </c>
      <c r="K654">
        <v>4778</v>
      </c>
      <c r="L654" s="1">
        <v>43963</v>
      </c>
      <c r="M654" s="1">
        <v>43964</v>
      </c>
      <c r="N654">
        <v>4</v>
      </c>
      <c r="O654" s="4" cm="1">
        <f t="array" ref="O654">_xlfn.IFS(J654="Dell Inspiron 15",66989,J654="Lenovo IdeaPad Slim 3i",34690,J654="Mi NoteBook Ultra",57999,J654="Samsung Galaxy Go",36990,J654="Acer Aspire 3",38980)</f>
        <v>38980</v>
      </c>
      <c r="P654" t="s">
        <v>1029</v>
      </c>
    </row>
    <row r="655" spans="1:16" x14ac:dyDescent="0.25">
      <c r="A655">
        <v>16145</v>
      </c>
      <c r="B655" t="s">
        <v>133</v>
      </c>
      <c r="C655" t="s">
        <v>958</v>
      </c>
      <c r="D655" t="s">
        <v>1032</v>
      </c>
      <c r="E655" t="s">
        <v>1035</v>
      </c>
      <c r="F655" t="s">
        <v>1011</v>
      </c>
      <c r="G655" t="str">
        <f>UPPER(Table1[[#This Row],[State]])</f>
        <v>GUJARAT</v>
      </c>
      <c r="H655" t="s">
        <v>1016</v>
      </c>
      <c r="I655" t="s">
        <v>959</v>
      </c>
      <c r="J655" t="s">
        <v>1022</v>
      </c>
      <c r="K655">
        <v>4613</v>
      </c>
      <c r="L655" s="1">
        <v>43929</v>
      </c>
      <c r="M655" s="1">
        <v>43930</v>
      </c>
      <c r="N655">
        <v>10</v>
      </c>
      <c r="O655" s="4" cm="1">
        <f t="array" ref="O655">_xlfn.IFS(J655="Dell Inspiron 15",66989,J655="Lenovo IdeaPad Slim 3i",34690,J655="Mi NoteBook Ultra",57999,J655="Samsung Galaxy Go",36990,J655="Acer Aspire 3",38980)</f>
        <v>66989</v>
      </c>
      <c r="P655" t="s">
        <v>1029</v>
      </c>
    </row>
    <row r="656" spans="1:16" x14ac:dyDescent="0.25">
      <c r="A656">
        <v>25414</v>
      </c>
      <c r="B656" t="s">
        <v>376</v>
      </c>
      <c r="C656" t="s">
        <v>533</v>
      </c>
      <c r="D656" t="s">
        <v>1032</v>
      </c>
      <c r="E656" t="s">
        <v>1036</v>
      </c>
      <c r="F656" t="s">
        <v>1012</v>
      </c>
      <c r="G656" t="str">
        <f>UPPER(Table1[[#This Row],[State]])</f>
        <v>DELHI</v>
      </c>
      <c r="H656" t="s">
        <v>1017</v>
      </c>
      <c r="I656" t="s">
        <v>960</v>
      </c>
      <c r="J656" t="s">
        <v>1024</v>
      </c>
      <c r="K656">
        <v>4903</v>
      </c>
      <c r="L656" s="1">
        <v>43979</v>
      </c>
      <c r="M656" s="1">
        <v>43979</v>
      </c>
      <c r="N656">
        <v>1</v>
      </c>
      <c r="O656" s="4" cm="1">
        <f t="array" ref="O656">_xlfn.IFS(J656="Dell Inspiron 15",66989,J656="Lenovo IdeaPad Slim 3i",34690,J656="Mi NoteBook Ultra",57999,J656="Samsung Galaxy Go",36990,J656="Acer Aspire 3",38980)</f>
        <v>57999</v>
      </c>
      <c r="P656" t="s">
        <v>1029</v>
      </c>
    </row>
    <row r="657" spans="1:16" x14ac:dyDescent="0.25">
      <c r="A657">
        <v>17513</v>
      </c>
      <c r="B657" t="s">
        <v>295</v>
      </c>
      <c r="C657" t="s">
        <v>105</v>
      </c>
      <c r="D657" t="s">
        <v>1032</v>
      </c>
      <c r="E657" t="s">
        <v>1033</v>
      </c>
      <c r="F657" t="s">
        <v>1009</v>
      </c>
      <c r="G657" t="str">
        <f>UPPER(Table1[[#This Row],[State]])</f>
        <v>BIHAR</v>
      </c>
      <c r="H657" t="s">
        <v>1014</v>
      </c>
      <c r="I657" t="s">
        <v>961</v>
      </c>
      <c r="J657" t="s">
        <v>1025</v>
      </c>
      <c r="K657">
        <v>5456</v>
      </c>
      <c r="L657" s="1">
        <v>43873</v>
      </c>
      <c r="M657" s="1">
        <v>43876</v>
      </c>
      <c r="N657">
        <v>9</v>
      </c>
      <c r="O657" s="4" cm="1">
        <f t="array" ref="O657">_xlfn.IFS(J657="Dell Inspiron 15",66989,J657="Lenovo IdeaPad Slim 3i",34690,J657="Mi NoteBook Ultra",57999,J657="Samsung Galaxy Go",36990,J657="Acer Aspire 3",38980)</f>
        <v>36990</v>
      </c>
      <c r="P657" t="s">
        <v>1029</v>
      </c>
    </row>
    <row r="658" spans="1:16" x14ac:dyDescent="0.25">
      <c r="A658">
        <v>24034</v>
      </c>
      <c r="B658" t="s">
        <v>529</v>
      </c>
      <c r="C658" t="s">
        <v>849</v>
      </c>
      <c r="D658" t="s">
        <v>1032</v>
      </c>
      <c r="E658" t="s">
        <v>1034</v>
      </c>
      <c r="F658" t="s">
        <v>1010</v>
      </c>
      <c r="G658" t="str">
        <f>UPPER(Table1[[#This Row],[State]])</f>
        <v>PUDUCHERRY</v>
      </c>
      <c r="H658" t="s">
        <v>1015</v>
      </c>
      <c r="I658" t="s">
        <v>962</v>
      </c>
      <c r="J658" t="s">
        <v>1026</v>
      </c>
      <c r="K658">
        <v>5517</v>
      </c>
      <c r="L658" s="1">
        <v>43873</v>
      </c>
      <c r="M658" s="1">
        <v>43875</v>
      </c>
      <c r="N658">
        <v>8</v>
      </c>
      <c r="O658" s="4" cm="1">
        <f t="array" ref="O658">_xlfn.IFS(J658="Dell Inspiron 15",66989,J658="Lenovo IdeaPad Slim 3i",34690,J658="Mi NoteBook Ultra",57999,J658="Samsung Galaxy Go",36990,J658="Acer Aspire 3",38980)</f>
        <v>38980</v>
      </c>
      <c r="P658" t="s">
        <v>1029</v>
      </c>
    </row>
    <row r="659" spans="1:16" x14ac:dyDescent="0.25">
      <c r="A659">
        <v>25313</v>
      </c>
      <c r="B659" t="s">
        <v>180</v>
      </c>
      <c r="C659" t="s">
        <v>368</v>
      </c>
      <c r="D659" t="s">
        <v>1032</v>
      </c>
      <c r="E659" t="s">
        <v>1033</v>
      </c>
      <c r="F659" t="s">
        <v>1009</v>
      </c>
      <c r="G659" t="str">
        <f>UPPER(Table1[[#This Row],[State]])</f>
        <v>BIHAR</v>
      </c>
      <c r="H659" t="s">
        <v>1014</v>
      </c>
      <c r="I659" t="s">
        <v>963</v>
      </c>
      <c r="J659" t="s">
        <v>1022</v>
      </c>
      <c r="K659">
        <v>5335</v>
      </c>
      <c r="L659" s="1">
        <v>43966</v>
      </c>
      <c r="M659" s="1">
        <v>43967</v>
      </c>
      <c r="N659">
        <v>4</v>
      </c>
      <c r="O659" s="4" cm="1">
        <f t="array" ref="O659">_xlfn.IFS(J659="Dell Inspiron 15",66989,J659="Lenovo IdeaPad Slim 3i",34690,J659="Mi NoteBook Ultra",57999,J659="Samsung Galaxy Go",36990,J659="Acer Aspire 3",38980)</f>
        <v>66989</v>
      </c>
      <c r="P659" t="s">
        <v>1029</v>
      </c>
    </row>
    <row r="660" spans="1:16" x14ac:dyDescent="0.25">
      <c r="A660">
        <v>25257</v>
      </c>
      <c r="B660" t="s">
        <v>103</v>
      </c>
      <c r="C660" t="s">
        <v>446</v>
      </c>
      <c r="D660" t="s">
        <v>1032</v>
      </c>
      <c r="E660" t="s">
        <v>1035</v>
      </c>
      <c r="F660" t="s">
        <v>1011</v>
      </c>
      <c r="G660" t="str">
        <f>UPPER(Table1[[#This Row],[State]])</f>
        <v>GUJARAT</v>
      </c>
      <c r="H660" t="s">
        <v>1016</v>
      </c>
      <c r="I660" t="s">
        <v>964</v>
      </c>
      <c r="J660" t="s">
        <v>1024</v>
      </c>
      <c r="K660">
        <v>4950</v>
      </c>
      <c r="L660" s="1">
        <v>43972</v>
      </c>
      <c r="M660" s="1">
        <v>43974</v>
      </c>
      <c r="N660">
        <v>8</v>
      </c>
      <c r="O660" s="4" cm="1">
        <f t="array" ref="O660">_xlfn.IFS(J660="Dell Inspiron 15",66989,J660="Lenovo IdeaPad Slim 3i",34690,J660="Mi NoteBook Ultra",57999,J660="Samsung Galaxy Go",36990,J660="Acer Aspire 3",38980)</f>
        <v>57999</v>
      </c>
      <c r="P660" t="s">
        <v>1029</v>
      </c>
    </row>
    <row r="661" spans="1:16" x14ac:dyDescent="0.25">
      <c r="A661">
        <v>22288</v>
      </c>
      <c r="B661" t="s">
        <v>335</v>
      </c>
      <c r="C661" t="s">
        <v>508</v>
      </c>
      <c r="D661" t="s">
        <v>1032</v>
      </c>
      <c r="E661" t="s">
        <v>1035</v>
      </c>
      <c r="F661" t="s">
        <v>1011</v>
      </c>
      <c r="G661" t="str">
        <f>UPPER(Table1[[#This Row],[State]])</f>
        <v>GUJARAT</v>
      </c>
      <c r="H661" t="s">
        <v>1016</v>
      </c>
      <c r="I661" t="s">
        <v>965</v>
      </c>
      <c r="J661" t="s">
        <v>1026</v>
      </c>
      <c r="K661">
        <v>4914</v>
      </c>
      <c r="L661" s="1">
        <v>43966</v>
      </c>
      <c r="M661" s="1">
        <v>43967</v>
      </c>
      <c r="N661">
        <v>10</v>
      </c>
      <c r="O661" s="4" cm="1">
        <f t="array" ref="O661">_xlfn.IFS(J661="Dell Inspiron 15",66989,J661="Lenovo IdeaPad Slim 3i",34690,J661="Mi NoteBook Ultra",57999,J661="Samsung Galaxy Go",36990,J661="Acer Aspire 3",38980)</f>
        <v>38980</v>
      </c>
      <c r="P661" t="s">
        <v>1029</v>
      </c>
    </row>
    <row r="662" spans="1:16" x14ac:dyDescent="0.25">
      <c r="A662">
        <v>17019</v>
      </c>
      <c r="B662" t="s">
        <v>295</v>
      </c>
      <c r="C662" t="s">
        <v>272</v>
      </c>
      <c r="D662" t="s">
        <v>1032</v>
      </c>
      <c r="E662" t="s">
        <v>1035</v>
      </c>
      <c r="F662" t="s">
        <v>1011</v>
      </c>
      <c r="G662" t="str">
        <f>UPPER(Table1[[#This Row],[State]])</f>
        <v>GUJARAT</v>
      </c>
      <c r="H662" t="s">
        <v>1016</v>
      </c>
      <c r="I662" t="s">
        <v>966</v>
      </c>
      <c r="J662" t="s">
        <v>1022</v>
      </c>
      <c r="K662">
        <v>4840</v>
      </c>
      <c r="L662" s="1">
        <v>43972</v>
      </c>
      <c r="M662" s="1">
        <v>43973</v>
      </c>
      <c r="N662">
        <v>9</v>
      </c>
      <c r="O662" s="4" cm="1">
        <f t="array" ref="O662">_xlfn.IFS(J662="Dell Inspiron 15",66989,J662="Lenovo IdeaPad Slim 3i",34690,J662="Mi NoteBook Ultra",57999,J662="Samsung Galaxy Go",36990,J662="Acer Aspire 3",38980)</f>
        <v>66989</v>
      </c>
      <c r="P662" t="s">
        <v>1029</v>
      </c>
    </row>
    <row r="663" spans="1:16" x14ac:dyDescent="0.25">
      <c r="A663">
        <v>24832</v>
      </c>
      <c r="B663" t="s">
        <v>339</v>
      </c>
      <c r="C663" t="s">
        <v>941</v>
      </c>
      <c r="D663" t="s">
        <v>1032</v>
      </c>
      <c r="E663" t="s">
        <v>1036</v>
      </c>
      <c r="F663" t="s">
        <v>1012</v>
      </c>
      <c r="G663" t="str">
        <f>UPPER(Table1[[#This Row],[State]])</f>
        <v>DELHI</v>
      </c>
      <c r="H663" t="s">
        <v>1017</v>
      </c>
      <c r="I663" t="s">
        <v>967</v>
      </c>
      <c r="J663" t="s">
        <v>1023</v>
      </c>
      <c r="K663">
        <v>4894</v>
      </c>
      <c r="L663" s="1">
        <v>43972</v>
      </c>
      <c r="M663" s="1">
        <v>43974</v>
      </c>
      <c r="N663">
        <v>7</v>
      </c>
      <c r="O663" s="4" cm="1">
        <f t="array" ref="O663">_xlfn.IFS(J663="Dell Inspiron 15",66989,J663="Lenovo IdeaPad Slim 3i",34690,J663="Mi NoteBook Ultra",57999,J663="Samsung Galaxy Go",36990,J663="Acer Aspire 3",38980)</f>
        <v>34690</v>
      </c>
      <c r="P663" t="s">
        <v>1029</v>
      </c>
    </row>
    <row r="664" spans="1:16" x14ac:dyDescent="0.25">
      <c r="A664">
        <v>20756</v>
      </c>
      <c r="B664" t="s">
        <v>361</v>
      </c>
      <c r="C664" t="s">
        <v>324</v>
      </c>
      <c r="D664" t="s">
        <v>1032</v>
      </c>
      <c r="E664" t="s">
        <v>1035</v>
      </c>
      <c r="F664" t="s">
        <v>1011</v>
      </c>
      <c r="G664" t="str">
        <f>UPPER(Table1[[#This Row],[State]])</f>
        <v>GUJARAT</v>
      </c>
      <c r="H664" t="s">
        <v>1016</v>
      </c>
      <c r="I664" t="s">
        <v>968</v>
      </c>
      <c r="J664" t="s">
        <v>1025</v>
      </c>
      <c r="K664">
        <v>4886</v>
      </c>
      <c r="L664" s="1">
        <v>43858</v>
      </c>
      <c r="M664" s="1">
        <v>43859</v>
      </c>
      <c r="N664">
        <v>1</v>
      </c>
      <c r="O664" s="4" cm="1">
        <f t="array" ref="O664">_xlfn.IFS(J664="Dell Inspiron 15",66989,J664="Lenovo IdeaPad Slim 3i",34690,J664="Mi NoteBook Ultra",57999,J664="Samsung Galaxy Go",36990,J664="Acer Aspire 3",38980)</f>
        <v>36990</v>
      </c>
      <c r="P664" t="s">
        <v>1029</v>
      </c>
    </row>
    <row r="665" spans="1:16" x14ac:dyDescent="0.25">
      <c r="A665">
        <v>24723</v>
      </c>
      <c r="B665" t="s">
        <v>670</v>
      </c>
      <c r="C665" t="s">
        <v>666</v>
      </c>
      <c r="D665" t="s">
        <v>1032</v>
      </c>
      <c r="E665" t="s">
        <v>1035</v>
      </c>
      <c r="F665" t="s">
        <v>1011</v>
      </c>
      <c r="G665" t="str">
        <f>UPPER(Table1[[#This Row],[State]])</f>
        <v>GUJARAT</v>
      </c>
      <c r="H665" t="s">
        <v>1016</v>
      </c>
      <c r="I665" t="s">
        <v>969</v>
      </c>
      <c r="J665" t="s">
        <v>1022</v>
      </c>
      <c r="K665">
        <v>5307</v>
      </c>
      <c r="L665" s="1">
        <v>43858</v>
      </c>
      <c r="M665" s="1">
        <v>43860</v>
      </c>
      <c r="N665">
        <v>9</v>
      </c>
      <c r="O665" s="4" cm="1">
        <f t="array" ref="O665">_xlfn.IFS(J665="Dell Inspiron 15",66989,J665="Lenovo IdeaPad Slim 3i",34690,J665="Mi NoteBook Ultra",57999,J665="Samsung Galaxy Go",36990,J665="Acer Aspire 3",38980)</f>
        <v>66989</v>
      </c>
      <c r="P665" t="s">
        <v>1029</v>
      </c>
    </row>
    <row r="666" spans="1:16" x14ac:dyDescent="0.25">
      <c r="A666">
        <v>24643</v>
      </c>
      <c r="B666" t="s">
        <v>318</v>
      </c>
      <c r="C666" t="s">
        <v>508</v>
      </c>
      <c r="D666" t="s">
        <v>1032</v>
      </c>
      <c r="E666" t="s">
        <v>1036</v>
      </c>
      <c r="F666" t="s">
        <v>1012</v>
      </c>
      <c r="G666" t="str">
        <f>UPPER(Table1[[#This Row],[State]])</f>
        <v>DELHI</v>
      </c>
      <c r="H666" t="s">
        <v>1017</v>
      </c>
      <c r="I666" t="s">
        <v>970</v>
      </c>
      <c r="J666" t="s">
        <v>1026</v>
      </c>
      <c r="K666">
        <v>5272</v>
      </c>
      <c r="L666" s="1">
        <v>43953</v>
      </c>
      <c r="M666" s="1">
        <v>43955</v>
      </c>
      <c r="N666">
        <v>2</v>
      </c>
      <c r="O666" s="4" cm="1">
        <f t="array" ref="O666">_xlfn.IFS(J666="Dell Inspiron 15",66989,J666="Lenovo IdeaPad Slim 3i",34690,J666="Mi NoteBook Ultra",57999,J666="Samsung Galaxy Go",36990,J666="Acer Aspire 3",38980)</f>
        <v>38980</v>
      </c>
      <c r="P666" t="s">
        <v>1029</v>
      </c>
    </row>
    <row r="667" spans="1:16" x14ac:dyDescent="0.25">
      <c r="A667">
        <v>16980</v>
      </c>
      <c r="B667" t="s">
        <v>229</v>
      </c>
      <c r="C667" t="s">
        <v>311</v>
      </c>
      <c r="D667" t="s">
        <v>1032</v>
      </c>
      <c r="E667" t="s">
        <v>1036</v>
      </c>
      <c r="F667" t="s">
        <v>1012</v>
      </c>
      <c r="G667" t="str">
        <f>UPPER(Table1[[#This Row],[State]])</f>
        <v>DELHI</v>
      </c>
      <c r="H667" t="s">
        <v>1017</v>
      </c>
      <c r="I667" t="s">
        <v>971</v>
      </c>
      <c r="J667" t="s">
        <v>1024</v>
      </c>
      <c r="K667">
        <v>5129</v>
      </c>
      <c r="L667" s="1">
        <v>43883</v>
      </c>
      <c r="M667" s="1">
        <v>43884</v>
      </c>
      <c r="N667">
        <v>5</v>
      </c>
      <c r="O667" s="4" cm="1">
        <f t="array" ref="O667">_xlfn.IFS(J667="Dell Inspiron 15",66989,J667="Lenovo IdeaPad Slim 3i",34690,J667="Mi NoteBook Ultra",57999,J667="Samsung Galaxy Go",36990,J667="Acer Aspire 3",38980)</f>
        <v>57999</v>
      </c>
      <c r="P667" t="s">
        <v>1029</v>
      </c>
    </row>
    <row r="668" spans="1:16" x14ac:dyDescent="0.25">
      <c r="A668">
        <v>24692</v>
      </c>
      <c r="B668" t="s">
        <v>449</v>
      </c>
      <c r="C668" t="s">
        <v>384</v>
      </c>
      <c r="D668" t="s">
        <v>1032</v>
      </c>
      <c r="E668" t="s">
        <v>1033</v>
      </c>
      <c r="F668" t="s">
        <v>1009</v>
      </c>
      <c r="G668" t="str">
        <f>UPPER(Table1[[#This Row],[State]])</f>
        <v>BIHAR</v>
      </c>
      <c r="H668" t="s">
        <v>1014</v>
      </c>
      <c r="I668" t="s">
        <v>972</v>
      </c>
      <c r="J668" t="s">
        <v>1025</v>
      </c>
      <c r="K668">
        <v>4935</v>
      </c>
      <c r="L668" s="1">
        <v>43917</v>
      </c>
      <c r="M668" s="1">
        <v>43918</v>
      </c>
      <c r="N668">
        <v>5</v>
      </c>
      <c r="O668" s="4" cm="1">
        <f t="array" ref="O668">_xlfn.IFS(J668="Dell Inspiron 15",66989,J668="Lenovo IdeaPad Slim 3i",34690,J668="Mi NoteBook Ultra",57999,J668="Samsung Galaxy Go",36990,J668="Acer Aspire 3",38980)</f>
        <v>36990</v>
      </c>
      <c r="P668" t="s">
        <v>1029</v>
      </c>
    </row>
    <row r="669" spans="1:16" x14ac:dyDescent="0.25">
      <c r="A669">
        <v>15122</v>
      </c>
      <c r="B669" t="s">
        <v>68</v>
      </c>
      <c r="C669" t="s">
        <v>512</v>
      </c>
      <c r="D669" t="s">
        <v>1032</v>
      </c>
      <c r="E669" t="s">
        <v>1034</v>
      </c>
      <c r="F669" t="s">
        <v>1010</v>
      </c>
      <c r="G669" t="str">
        <f>UPPER(Table1[[#This Row],[State]])</f>
        <v>PUDUCHERRY</v>
      </c>
      <c r="H669" t="s">
        <v>1015</v>
      </c>
      <c r="I669" t="s">
        <v>973</v>
      </c>
      <c r="J669" t="s">
        <v>1026</v>
      </c>
      <c r="K669">
        <v>4923</v>
      </c>
      <c r="L669" s="1">
        <v>43850</v>
      </c>
      <c r="M669" s="1">
        <v>43852</v>
      </c>
      <c r="N669">
        <v>8</v>
      </c>
      <c r="O669" s="4" cm="1">
        <f t="array" ref="O669">_xlfn.IFS(J669="Dell Inspiron 15",66989,J669="Lenovo IdeaPad Slim 3i",34690,J669="Mi NoteBook Ultra",57999,J669="Samsung Galaxy Go",36990,J669="Acer Aspire 3",38980)</f>
        <v>38980</v>
      </c>
      <c r="P669" t="s">
        <v>1029</v>
      </c>
    </row>
    <row r="670" spans="1:16" x14ac:dyDescent="0.25">
      <c r="A670">
        <v>13649</v>
      </c>
      <c r="B670" t="s">
        <v>974</v>
      </c>
      <c r="C670" t="s">
        <v>283</v>
      </c>
      <c r="D670" t="s">
        <v>1032</v>
      </c>
      <c r="E670" t="s">
        <v>1033</v>
      </c>
      <c r="F670" t="s">
        <v>1009</v>
      </c>
      <c r="G670" t="str">
        <f>UPPER(Table1[[#This Row],[State]])</f>
        <v>BIHAR</v>
      </c>
      <c r="H670" t="s">
        <v>1014</v>
      </c>
      <c r="I670" t="s">
        <v>975</v>
      </c>
      <c r="J670" t="s">
        <v>1022</v>
      </c>
      <c r="K670">
        <v>5429</v>
      </c>
      <c r="L670" s="1">
        <v>43902</v>
      </c>
      <c r="M670" s="1">
        <v>43909</v>
      </c>
      <c r="N670">
        <v>10</v>
      </c>
      <c r="O670" s="4" cm="1">
        <f t="array" ref="O670">_xlfn.IFS(J670="Dell Inspiron 15",66989,J670="Lenovo IdeaPad Slim 3i",34690,J670="Mi NoteBook Ultra",57999,J670="Samsung Galaxy Go",36990,J670="Acer Aspire 3",38980)</f>
        <v>66989</v>
      </c>
      <c r="P670" t="s">
        <v>1029</v>
      </c>
    </row>
    <row r="671" spans="1:16" x14ac:dyDescent="0.25">
      <c r="A671">
        <v>18500</v>
      </c>
      <c r="B671" t="s">
        <v>51</v>
      </c>
      <c r="C671" t="s">
        <v>565</v>
      </c>
      <c r="D671" t="s">
        <v>1032</v>
      </c>
      <c r="E671" t="s">
        <v>1035</v>
      </c>
      <c r="F671" t="s">
        <v>1011</v>
      </c>
      <c r="G671" t="str">
        <f>UPPER(Table1[[#This Row],[State]])</f>
        <v>GUJARAT</v>
      </c>
      <c r="H671" t="s">
        <v>1016</v>
      </c>
      <c r="I671" t="s">
        <v>976</v>
      </c>
      <c r="J671" t="s">
        <v>1024</v>
      </c>
      <c r="K671">
        <v>4672</v>
      </c>
      <c r="L671" s="1">
        <v>43997</v>
      </c>
      <c r="M671" s="1">
        <v>43999</v>
      </c>
      <c r="N671">
        <v>1</v>
      </c>
      <c r="O671" s="4" cm="1">
        <f t="array" ref="O671">_xlfn.IFS(J671="Dell Inspiron 15",66989,J671="Lenovo IdeaPad Slim 3i",34690,J671="Mi NoteBook Ultra",57999,J671="Samsung Galaxy Go",36990,J671="Acer Aspire 3",38980)</f>
        <v>57999</v>
      </c>
      <c r="P671" t="s">
        <v>1029</v>
      </c>
    </row>
    <row r="672" spans="1:16" x14ac:dyDescent="0.25">
      <c r="A672">
        <v>13229</v>
      </c>
      <c r="B672" t="s">
        <v>5</v>
      </c>
      <c r="C672" t="s">
        <v>151</v>
      </c>
      <c r="D672" t="s">
        <v>1032</v>
      </c>
      <c r="E672" t="s">
        <v>1035</v>
      </c>
      <c r="F672" t="s">
        <v>1011</v>
      </c>
      <c r="G672" t="str">
        <f>UPPER(Table1[[#This Row],[State]])</f>
        <v>GUJARAT</v>
      </c>
      <c r="H672" t="s">
        <v>1016</v>
      </c>
      <c r="I672" t="s">
        <v>977</v>
      </c>
      <c r="J672" t="s">
        <v>1026</v>
      </c>
      <c r="K672">
        <v>4715</v>
      </c>
      <c r="L672" s="1">
        <v>43997</v>
      </c>
      <c r="M672" s="1">
        <v>43998</v>
      </c>
      <c r="N672">
        <v>7</v>
      </c>
      <c r="O672" s="4" cm="1">
        <f t="array" ref="O672">_xlfn.IFS(J672="Dell Inspiron 15",66989,J672="Lenovo IdeaPad Slim 3i",34690,J672="Mi NoteBook Ultra",57999,J672="Samsung Galaxy Go",36990,J672="Acer Aspire 3",38980)</f>
        <v>38980</v>
      </c>
      <c r="P672" t="s">
        <v>1029</v>
      </c>
    </row>
    <row r="673" spans="1:16" x14ac:dyDescent="0.25">
      <c r="A673">
        <v>23996</v>
      </c>
      <c r="B673" t="s">
        <v>16</v>
      </c>
      <c r="C673" t="s">
        <v>105</v>
      </c>
      <c r="D673" t="s">
        <v>1032</v>
      </c>
      <c r="E673" t="s">
        <v>1036</v>
      </c>
      <c r="F673" t="s">
        <v>1012</v>
      </c>
      <c r="G673" t="str">
        <f>UPPER(Table1[[#This Row],[State]])</f>
        <v>DELHI</v>
      </c>
      <c r="H673" t="s">
        <v>1017</v>
      </c>
      <c r="I673" t="s">
        <v>978</v>
      </c>
      <c r="J673" t="s">
        <v>1022</v>
      </c>
      <c r="K673">
        <v>5371</v>
      </c>
      <c r="L673" s="1">
        <v>43961</v>
      </c>
      <c r="M673" s="1">
        <v>43962</v>
      </c>
      <c r="N673">
        <v>10</v>
      </c>
      <c r="O673" s="4" cm="1">
        <f t="array" ref="O673">_xlfn.IFS(J673="Dell Inspiron 15",66989,J673="Lenovo IdeaPad Slim 3i",34690,J673="Mi NoteBook Ultra",57999,J673="Samsung Galaxy Go",36990,J673="Acer Aspire 3",38980)</f>
        <v>66989</v>
      </c>
      <c r="P673" t="s">
        <v>1029</v>
      </c>
    </row>
    <row r="674" spans="1:16" x14ac:dyDescent="0.25">
      <c r="A674">
        <v>19552</v>
      </c>
      <c r="B674" t="s">
        <v>6</v>
      </c>
      <c r="C674" t="s">
        <v>268</v>
      </c>
      <c r="D674" t="s">
        <v>1032</v>
      </c>
      <c r="E674" t="s">
        <v>1033</v>
      </c>
      <c r="F674" t="s">
        <v>1009</v>
      </c>
      <c r="G674" t="str">
        <f>UPPER(Table1[[#This Row],[State]])</f>
        <v>BIHAR</v>
      </c>
      <c r="H674" t="s">
        <v>1014</v>
      </c>
      <c r="I674" t="s">
        <v>979</v>
      </c>
      <c r="J674" t="s">
        <v>1023</v>
      </c>
      <c r="K674">
        <v>5508</v>
      </c>
      <c r="L674" s="1">
        <v>43900</v>
      </c>
      <c r="M674" s="1">
        <v>43900</v>
      </c>
      <c r="N674">
        <v>3</v>
      </c>
      <c r="O674" s="4" cm="1">
        <f t="array" ref="O674">_xlfn.IFS(J674="Dell Inspiron 15",66989,J674="Lenovo IdeaPad Slim 3i",34690,J674="Mi NoteBook Ultra",57999,J674="Samsung Galaxy Go",36990,J674="Acer Aspire 3",38980)</f>
        <v>34690</v>
      </c>
      <c r="P674" t="s">
        <v>1029</v>
      </c>
    </row>
    <row r="675" spans="1:16" x14ac:dyDescent="0.25">
      <c r="A675">
        <v>18140</v>
      </c>
      <c r="B675" t="s">
        <v>313</v>
      </c>
      <c r="C675" t="s">
        <v>365</v>
      </c>
      <c r="D675" t="s">
        <v>1032</v>
      </c>
      <c r="E675" t="s">
        <v>1034</v>
      </c>
      <c r="F675" t="s">
        <v>1010</v>
      </c>
      <c r="G675" t="str">
        <f>UPPER(Table1[[#This Row],[State]])</f>
        <v>PUDUCHERRY</v>
      </c>
      <c r="H675" t="s">
        <v>1015</v>
      </c>
      <c r="I675" t="s">
        <v>980</v>
      </c>
      <c r="J675" t="s">
        <v>1024</v>
      </c>
      <c r="K675">
        <v>4771</v>
      </c>
      <c r="L675" s="1">
        <v>43858</v>
      </c>
      <c r="M675" s="1">
        <v>43860</v>
      </c>
      <c r="N675">
        <v>7</v>
      </c>
      <c r="O675" s="4" cm="1">
        <f t="array" ref="O675">_xlfn.IFS(J675="Dell Inspiron 15",66989,J675="Lenovo IdeaPad Slim 3i",34690,J675="Mi NoteBook Ultra",57999,J675="Samsung Galaxy Go",36990,J675="Acer Aspire 3",38980)</f>
        <v>57999</v>
      </c>
      <c r="P675" t="s">
        <v>1029</v>
      </c>
    </row>
    <row r="676" spans="1:16" x14ac:dyDescent="0.25">
      <c r="A676">
        <v>15643</v>
      </c>
      <c r="B676" t="s">
        <v>432</v>
      </c>
      <c r="C676" t="s">
        <v>623</v>
      </c>
      <c r="D676" t="s">
        <v>1032</v>
      </c>
      <c r="E676" t="s">
        <v>1033</v>
      </c>
      <c r="F676" t="s">
        <v>1009</v>
      </c>
      <c r="G676" t="str">
        <f>UPPER(Table1[[#This Row],[State]])</f>
        <v>BIHAR</v>
      </c>
      <c r="H676" t="s">
        <v>1014</v>
      </c>
      <c r="I676" t="s">
        <v>981</v>
      </c>
      <c r="J676" t="s">
        <v>1025</v>
      </c>
      <c r="K676">
        <v>5247</v>
      </c>
      <c r="L676" s="1">
        <v>43900</v>
      </c>
      <c r="M676" s="1">
        <v>43901</v>
      </c>
      <c r="N676">
        <v>4</v>
      </c>
      <c r="O676" s="4" cm="1">
        <f t="array" ref="O676">_xlfn.IFS(J676="Dell Inspiron 15",66989,J676="Lenovo IdeaPad Slim 3i",34690,J676="Mi NoteBook Ultra",57999,J676="Samsung Galaxy Go",36990,J676="Acer Aspire 3",38980)</f>
        <v>36990</v>
      </c>
      <c r="P676" t="s">
        <v>1029</v>
      </c>
    </row>
    <row r="677" spans="1:16" x14ac:dyDescent="0.25">
      <c r="A677">
        <v>25425</v>
      </c>
      <c r="B677" t="s">
        <v>10</v>
      </c>
      <c r="C677" t="s">
        <v>296</v>
      </c>
      <c r="D677" t="s">
        <v>1032</v>
      </c>
      <c r="E677" t="s">
        <v>1035</v>
      </c>
      <c r="F677" t="s">
        <v>1011</v>
      </c>
      <c r="G677" t="str">
        <f>UPPER(Table1[[#This Row],[State]])</f>
        <v>GUJARAT</v>
      </c>
      <c r="H677" t="s">
        <v>1016</v>
      </c>
      <c r="I677" t="s">
        <v>982</v>
      </c>
      <c r="J677" t="s">
        <v>1026</v>
      </c>
      <c r="K677">
        <v>5306</v>
      </c>
      <c r="L677" s="1">
        <v>43941</v>
      </c>
      <c r="M677" s="1">
        <v>43942</v>
      </c>
      <c r="N677">
        <v>9</v>
      </c>
      <c r="O677" s="4" cm="1">
        <f t="array" ref="O677">_xlfn.IFS(J677="Dell Inspiron 15",66989,J677="Lenovo IdeaPad Slim 3i",34690,J677="Mi NoteBook Ultra",57999,J677="Samsung Galaxy Go",36990,J677="Acer Aspire 3",38980)</f>
        <v>38980</v>
      </c>
      <c r="P677" t="s">
        <v>1029</v>
      </c>
    </row>
    <row r="678" spans="1:16" x14ac:dyDescent="0.25">
      <c r="A678">
        <v>22781</v>
      </c>
      <c r="B678" t="s">
        <v>274</v>
      </c>
      <c r="C678" t="s">
        <v>316</v>
      </c>
      <c r="D678" t="s">
        <v>1032</v>
      </c>
      <c r="E678" t="s">
        <v>1035</v>
      </c>
      <c r="F678" t="s">
        <v>1011</v>
      </c>
      <c r="G678" t="str">
        <f>UPPER(Table1[[#This Row],[State]])</f>
        <v>GUJARAT</v>
      </c>
      <c r="H678" t="s">
        <v>1016</v>
      </c>
      <c r="I678" t="s">
        <v>983</v>
      </c>
      <c r="J678" t="s">
        <v>1022</v>
      </c>
      <c r="K678">
        <v>5251</v>
      </c>
      <c r="L678" s="1">
        <v>43941</v>
      </c>
      <c r="M678" s="1">
        <v>43942</v>
      </c>
      <c r="N678">
        <v>6</v>
      </c>
      <c r="O678" s="4" cm="1">
        <f t="array" ref="O678">_xlfn.IFS(J678="Dell Inspiron 15",66989,J678="Lenovo IdeaPad Slim 3i",34690,J678="Mi NoteBook Ultra",57999,J678="Samsung Galaxy Go",36990,J678="Acer Aspire 3",38980)</f>
        <v>66989</v>
      </c>
      <c r="P678" t="s">
        <v>1029</v>
      </c>
    </row>
    <row r="679" spans="1:16" x14ac:dyDescent="0.25">
      <c r="A679">
        <v>16269</v>
      </c>
      <c r="B679" t="s">
        <v>28</v>
      </c>
      <c r="C679" t="s">
        <v>161</v>
      </c>
      <c r="D679" t="s">
        <v>1032</v>
      </c>
      <c r="E679" t="s">
        <v>1036</v>
      </c>
      <c r="F679" t="s">
        <v>1012</v>
      </c>
      <c r="G679" t="str">
        <f>UPPER(Table1[[#This Row],[State]])</f>
        <v>DELHI</v>
      </c>
      <c r="H679" t="s">
        <v>1017</v>
      </c>
      <c r="I679" t="s">
        <v>984</v>
      </c>
      <c r="J679" t="s">
        <v>1024</v>
      </c>
      <c r="K679">
        <v>5271</v>
      </c>
      <c r="L679" s="1">
        <v>43960</v>
      </c>
      <c r="M679" s="1">
        <v>43962</v>
      </c>
      <c r="N679">
        <v>5</v>
      </c>
      <c r="O679" s="4" cm="1">
        <f t="array" ref="O679">_xlfn.IFS(J679="Dell Inspiron 15",66989,J679="Lenovo IdeaPad Slim 3i",34690,J679="Mi NoteBook Ultra",57999,J679="Samsung Galaxy Go",36990,J679="Acer Aspire 3",38980)</f>
        <v>57999</v>
      </c>
      <c r="P679" t="s">
        <v>1029</v>
      </c>
    </row>
    <row r="680" spans="1:16" x14ac:dyDescent="0.25">
      <c r="A680">
        <v>17932</v>
      </c>
      <c r="B680" t="s">
        <v>432</v>
      </c>
      <c r="C680" t="s">
        <v>183</v>
      </c>
      <c r="D680" t="s">
        <v>1032</v>
      </c>
      <c r="E680" t="s">
        <v>1033</v>
      </c>
      <c r="F680" t="s">
        <v>1009</v>
      </c>
      <c r="G680" t="str">
        <f>UPPER(Table1[[#This Row],[State]])</f>
        <v>BIHAR</v>
      </c>
      <c r="H680" t="s">
        <v>1014</v>
      </c>
      <c r="I680" t="s">
        <v>985</v>
      </c>
      <c r="J680" t="s">
        <v>1026</v>
      </c>
      <c r="K680">
        <v>5207</v>
      </c>
      <c r="L680" s="1">
        <v>43994</v>
      </c>
      <c r="M680" s="1">
        <v>43996</v>
      </c>
      <c r="N680">
        <v>1</v>
      </c>
      <c r="O680" s="4" cm="1">
        <f t="array" ref="O680">_xlfn.IFS(J680="Dell Inspiron 15",66989,J680="Lenovo IdeaPad Slim 3i",34690,J680="Mi NoteBook Ultra",57999,J680="Samsung Galaxy Go",36990,J680="Acer Aspire 3",38980)</f>
        <v>38980</v>
      </c>
      <c r="P680" t="s">
        <v>1029</v>
      </c>
    </row>
    <row r="681" spans="1:16" x14ac:dyDescent="0.25">
      <c r="A681">
        <v>16491</v>
      </c>
      <c r="B681" t="s">
        <v>389</v>
      </c>
      <c r="C681" t="s">
        <v>606</v>
      </c>
      <c r="D681" t="s">
        <v>1032</v>
      </c>
      <c r="E681" t="s">
        <v>1036</v>
      </c>
      <c r="F681" t="s">
        <v>1012</v>
      </c>
      <c r="G681" t="str">
        <f>UPPER(Table1[[#This Row],[State]])</f>
        <v>DELHI</v>
      </c>
      <c r="H681" t="s">
        <v>1017</v>
      </c>
      <c r="I681" t="s">
        <v>986</v>
      </c>
      <c r="J681" t="s">
        <v>1022</v>
      </c>
      <c r="K681">
        <v>5430</v>
      </c>
      <c r="L681" s="1">
        <v>43892</v>
      </c>
      <c r="M681" s="1">
        <v>43894</v>
      </c>
      <c r="N681">
        <v>5</v>
      </c>
      <c r="O681" s="4" cm="1">
        <f t="array" ref="O681">_xlfn.IFS(J681="Dell Inspiron 15",66989,J681="Lenovo IdeaPad Slim 3i",34690,J681="Mi NoteBook Ultra",57999,J681="Samsung Galaxy Go",36990,J681="Acer Aspire 3",38980)</f>
        <v>66989</v>
      </c>
      <c r="P681" t="s">
        <v>1029</v>
      </c>
    </row>
    <row r="682" spans="1:16" x14ac:dyDescent="0.25">
      <c r="A682">
        <v>16980</v>
      </c>
      <c r="B682" t="s">
        <v>318</v>
      </c>
      <c r="C682" t="s">
        <v>136</v>
      </c>
      <c r="D682" t="s">
        <v>1032</v>
      </c>
      <c r="E682" t="s">
        <v>1033</v>
      </c>
      <c r="F682" t="s">
        <v>1009</v>
      </c>
      <c r="G682" t="str">
        <f>UPPER(Table1[[#This Row],[State]])</f>
        <v>BIHAR</v>
      </c>
      <c r="H682" t="s">
        <v>1014</v>
      </c>
      <c r="I682" t="s">
        <v>987</v>
      </c>
      <c r="J682" t="s">
        <v>1023</v>
      </c>
      <c r="K682">
        <v>5440</v>
      </c>
      <c r="L682" s="1">
        <v>43892</v>
      </c>
      <c r="M682" s="1">
        <v>43892</v>
      </c>
      <c r="N682">
        <v>1</v>
      </c>
      <c r="O682" s="4" cm="1">
        <f t="array" ref="O682">_xlfn.IFS(J682="Dell Inspiron 15",66989,J682="Lenovo IdeaPad Slim 3i",34690,J682="Mi NoteBook Ultra",57999,J682="Samsung Galaxy Go",36990,J682="Acer Aspire 3",38980)</f>
        <v>34690</v>
      </c>
      <c r="P682" t="s">
        <v>1029</v>
      </c>
    </row>
    <row r="683" spans="1:16" x14ac:dyDescent="0.25">
      <c r="A683">
        <v>22363</v>
      </c>
      <c r="B683" t="s">
        <v>847</v>
      </c>
      <c r="C683" t="s">
        <v>359</v>
      </c>
      <c r="D683" t="s">
        <v>1032</v>
      </c>
      <c r="E683" t="s">
        <v>1034</v>
      </c>
      <c r="F683" t="s">
        <v>1010</v>
      </c>
      <c r="G683" t="str">
        <f>UPPER(Table1[[#This Row],[State]])</f>
        <v>PUDUCHERRY</v>
      </c>
      <c r="H683" t="s">
        <v>1015</v>
      </c>
      <c r="I683" t="s">
        <v>988</v>
      </c>
      <c r="J683" t="s">
        <v>1025</v>
      </c>
      <c r="K683">
        <v>4547</v>
      </c>
      <c r="L683" s="1">
        <v>43832</v>
      </c>
      <c r="M683" s="1">
        <v>43839</v>
      </c>
      <c r="N683">
        <v>8</v>
      </c>
      <c r="O683" s="4" cm="1">
        <f t="array" ref="O683">_xlfn.IFS(J683="Dell Inspiron 15",66989,J683="Lenovo IdeaPad Slim 3i",34690,J683="Mi NoteBook Ultra",57999,J683="Samsung Galaxy Go",36990,J683="Acer Aspire 3",38980)</f>
        <v>36990</v>
      </c>
      <c r="P683" t="s">
        <v>1029</v>
      </c>
    </row>
    <row r="684" spans="1:16" x14ac:dyDescent="0.25">
      <c r="A684">
        <v>21118</v>
      </c>
      <c r="B684" t="s">
        <v>274</v>
      </c>
      <c r="C684" t="s">
        <v>354</v>
      </c>
      <c r="D684" t="s">
        <v>1032</v>
      </c>
      <c r="E684" t="s">
        <v>1033</v>
      </c>
      <c r="F684" t="s">
        <v>1009</v>
      </c>
      <c r="G684" t="str">
        <f>UPPER(Table1[[#This Row],[State]])</f>
        <v>BIHAR</v>
      </c>
      <c r="H684" t="s">
        <v>1014</v>
      </c>
      <c r="I684" t="s">
        <v>989</v>
      </c>
      <c r="J684" t="s">
        <v>1022</v>
      </c>
      <c r="K684">
        <v>5296</v>
      </c>
      <c r="L684" s="1">
        <v>43832</v>
      </c>
      <c r="M684" s="1">
        <v>43832</v>
      </c>
      <c r="N684">
        <v>4</v>
      </c>
      <c r="O684" s="4" cm="1">
        <f t="array" ref="O684">_xlfn.IFS(J684="Dell Inspiron 15",66989,J684="Lenovo IdeaPad Slim 3i",34690,J684="Mi NoteBook Ultra",57999,J684="Samsung Galaxy Go",36990,J684="Acer Aspire 3",38980)</f>
        <v>66989</v>
      </c>
      <c r="P684" t="s">
        <v>1029</v>
      </c>
    </row>
    <row r="685" spans="1:16" x14ac:dyDescent="0.25">
      <c r="A685">
        <v>17858</v>
      </c>
      <c r="B685" t="s">
        <v>172</v>
      </c>
      <c r="C685" t="s">
        <v>746</v>
      </c>
      <c r="D685" t="s">
        <v>1032</v>
      </c>
      <c r="E685" t="s">
        <v>1035</v>
      </c>
      <c r="F685" t="s">
        <v>1011</v>
      </c>
      <c r="G685" t="str">
        <f>UPPER(Table1[[#This Row],[State]])</f>
        <v>GUJARAT</v>
      </c>
      <c r="H685" t="s">
        <v>1016</v>
      </c>
      <c r="I685" t="s">
        <v>990</v>
      </c>
      <c r="J685" t="s">
        <v>1026</v>
      </c>
      <c r="K685">
        <v>4790</v>
      </c>
      <c r="L685" s="1">
        <v>43832</v>
      </c>
      <c r="M685" s="1">
        <v>43834</v>
      </c>
      <c r="N685">
        <v>5</v>
      </c>
      <c r="O685" s="4" cm="1">
        <f t="array" ref="O685">_xlfn.IFS(J685="Dell Inspiron 15",66989,J685="Lenovo IdeaPad Slim 3i",34690,J685="Mi NoteBook Ultra",57999,J685="Samsung Galaxy Go",36990,J685="Acer Aspire 3",38980)</f>
        <v>38980</v>
      </c>
      <c r="P685" t="s">
        <v>1029</v>
      </c>
    </row>
    <row r="686" spans="1:16" x14ac:dyDescent="0.25">
      <c r="A686">
        <v>14382</v>
      </c>
      <c r="B686" t="s">
        <v>358</v>
      </c>
      <c r="C686" t="s">
        <v>95</v>
      </c>
      <c r="D686" t="s">
        <v>1032</v>
      </c>
      <c r="E686" t="s">
        <v>1033</v>
      </c>
      <c r="F686" t="s">
        <v>1009</v>
      </c>
      <c r="G686" t="str">
        <f>UPPER(Table1[[#This Row],[State]])</f>
        <v>BIHAR</v>
      </c>
      <c r="H686" t="s">
        <v>1014</v>
      </c>
      <c r="I686" t="s">
        <v>991</v>
      </c>
      <c r="J686" t="s">
        <v>1024</v>
      </c>
      <c r="K686">
        <v>5178</v>
      </c>
      <c r="L686" s="1">
        <v>43832</v>
      </c>
      <c r="M686" s="1">
        <v>43839</v>
      </c>
      <c r="N686">
        <v>5</v>
      </c>
      <c r="O686" s="4" cm="1">
        <f t="array" ref="O686">_xlfn.IFS(J686="Dell Inspiron 15",66989,J686="Lenovo IdeaPad Slim 3i",34690,J686="Mi NoteBook Ultra",57999,J686="Samsung Galaxy Go",36990,J686="Acer Aspire 3",38980)</f>
        <v>57999</v>
      </c>
      <c r="P686" t="s">
        <v>1029</v>
      </c>
    </row>
    <row r="687" spans="1:16" x14ac:dyDescent="0.25">
      <c r="A687">
        <v>21441</v>
      </c>
      <c r="B687" t="s">
        <v>242</v>
      </c>
      <c r="C687" t="s">
        <v>649</v>
      </c>
      <c r="D687" t="s">
        <v>1032</v>
      </c>
      <c r="E687" t="s">
        <v>1034</v>
      </c>
      <c r="F687" t="s">
        <v>1010</v>
      </c>
      <c r="G687" t="str">
        <f>UPPER(Table1[[#This Row],[State]])</f>
        <v>PUDUCHERRY</v>
      </c>
      <c r="H687" t="s">
        <v>1015</v>
      </c>
      <c r="I687" t="s">
        <v>992</v>
      </c>
      <c r="J687" t="s">
        <v>1025</v>
      </c>
      <c r="K687">
        <v>5506</v>
      </c>
      <c r="L687" s="1">
        <v>43863</v>
      </c>
      <c r="M687" s="1">
        <v>43865</v>
      </c>
      <c r="N687">
        <v>2</v>
      </c>
      <c r="O687" s="4" cm="1">
        <f t="array" ref="O687">_xlfn.IFS(J687="Dell Inspiron 15",66989,J687="Lenovo IdeaPad Slim 3i",34690,J687="Mi NoteBook Ultra",57999,J687="Samsung Galaxy Go",36990,J687="Acer Aspire 3",38980)</f>
        <v>36990</v>
      </c>
      <c r="P687" t="s">
        <v>1029</v>
      </c>
    </row>
    <row r="688" spans="1:16" x14ac:dyDescent="0.25">
      <c r="A688">
        <v>25398</v>
      </c>
      <c r="B688" t="s">
        <v>551</v>
      </c>
      <c r="C688" t="s">
        <v>107</v>
      </c>
      <c r="D688" t="s">
        <v>1032</v>
      </c>
      <c r="E688" t="s">
        <v>1033</v>
      </c>
      <c r="F688" t="s">
        <v>1009</v>
      </c>
      <c r="G688" t="str">
        <f>UPPER(Table1[[#This Row],[State]])</f>
        <v>BIHAR</v>
      </c>
      <c r="H688" t="s">
        <v>1014</v>
      </c>
      <c r="I688" t="s">
        <v>993</v>
      </c>
      <c r="J688" t="s">
        <v>1026</v>
      </c>
      <c r="K688">
        <v>4885</v>
      </c>
      <c r="L688" s="1">
        <v>43863</v>
      </c>
      <c r="M688" s="1">
        <v>43865</v>
      </c>
      <c r="N688">
        <v>4</v>
      </c>
      <c r="O688" s="4" cm="1">
        <f t="array" ref="O688">_xlfn.IFS(J688="Dell Inspiron 15",66989,J688="Lenovo IdeaPad Slim 3i",34690,J688="Mi NoteBook Ultra",57999,J688="Samsung Galaxy Go",36990,J688="Acer Aspire 3",38980)</f>
        <v>38980</v>
      </c>
      <c r="P688" t="s">
        <v>1029</v>
      </c>
    </row>
    <row r="689" spans="1:16" x14ac:dyDescent="0.25">
      <c r="A689">
        <v>18080</v>
      </c>
      <c r="B689" t="s">
        <v>568</v>
      </c>
      <c r="C689" t="s">
        <v>493</v>
      </c>
      <c r="D689" t="s">
        <v>1032</v>
      </c>
      <c r="E689" t="s">
        <v>1035</v>
      </c>
      <c r="F689" t="s">
        <v>1011</v>
      </c>
      <c r="G689" t="str">
        <f>UPPER(Table1[[#This Row],[State]])</f>
        <v>GUJARAT</v>
      </c>
      <c r="H689" t="s">
        <v>1016</v>
      </c>
      <c r="I689" t="s">
        <v>994</v>
      </c>
      <c r="J689" t="s">
        <v>1022</v>
      </c>
      <c r="K689">
        <v>4718</v>
      </c>
      <c r="L689" s="1">
        <v>43905</v>
      </c>
      <c r="M689" s="1">
        <v>43905</v>
      </c>
      <c r="N689">
        <v>8</v>
      </c>
      <c r="O689" s="4" cm="1">
        <f t="array" ref="O689">_xlfn.IFS(J689="Dell Inspiron 15",66989,J689="Lenovo IdeaPad Slim 3i",34690,J689="Mi NoteBook Ultra",57999,J689="Samsung Galaxy Go",36990,J689="Acer Aspire 3",38980)</f>
        <v>66989</v>
      </c>
      <c r="P689" t="s">
        <v>1029</v>
      </c>
    </row>
    <row r="690" spans="1:16" x14ac:dyDescent="0.25">
      <c r="A690">
        <v>23270</v>
      </c>
      <c r="B690" t="s">
        <v>210</v>
      </c>
      <c r="C690" t="s">
        <v>266</v>
      </c>
      <c r="D690" t="s">
        <v>1032</v>
      </c>
      <c r="E690" t="s">
        <v>1035</v>
      </c>
      <c r="F690" t="s">
        <v>1011</v>
      </c>
      <c r="G690" t="str">
        <f>UPPER(Table1[[#This Row],[State]])</f>
        <v>GUJARAT</v>
      </c>
      <c r="H690" t="s">
        <v>1016</v>
      </c>
      <c r="I690" t="s">
        <v>995</v>
      </c>
      <c r="J690" t="s">
        <v>1024</v>
      </c>
      <c r="K690">
        <v>5356</v>
      </c>
      <c r="L690" s="1">
        <v>43863</v>
      </c>
      <c r="M690" s="1">
        <v>43864</v>
      </c>
      <c r="N690">
        <v>4</v>
      </c>
      <c r="O690" s="4" cm="1">
        <f t="array" ref="O690">_xlfn.IFS(J690="Dell Inspiron 15",66989,J690="Lenovo IdeaPad Slim 3i",34690,J690="Mi NoteBook Ultra",57999,J690="Samsung Galaxy Go",36990,J690="Acer Aspire 3",38980)</f>
        <v>57999</v>
      </c>
      <c r="P690" t="s">
        <v>1029</v>
      </c>
    </row>
    <row r="691" spans="1:16" x14ac:dyDescent="0.25">
      <c r="A691">
        <v>19849</v>
      </c>
      <c r="B691" t="s">
        <v>704</v>
      </c>
      <c r="C691" t="s">
        <v>378</v>
      </c>
      <c r="D691" t="s">
        <v>1032</v>
      </c>
      <c r="E691" t="s">
        <v>1035</v>
      </c>
      <c r="F691" t="s">
        <v>1011</v>
      </c>
      <c r="G691" t="str">
        <f>UPPER(Table1[[#This Row],[State]])</f>
        <v>GUJARAT</v>
      </c>
      <c r="H691" t="s">
        <v>1016</v>
      </c>
      <c r="I691" t="s">
        <v>996</v>
      </c>
      <c r="J691" t="s">
        <v>1026</v>
      </c>
      <c r="K691">
        <v>5352</v>
      </c>
      <c r="L691" s="1">
        <v>43920</v>
      </c>
      <c r="M691" s="1">
        <v>43923</v>
      </c>
      <c r="N691">
        <v>9</v>
      </c>
      <c r="O691" s="4" cm="1">
        <f t="array" ref="O691">_xlfn.IFS(J691="Dell Inspiron 15",66989,J691="Lenovo IdeaPad Slim 3i",34690,J691="Mi NoteBook Ultra",57999,J691="Samsung Galaxy Go",36990,J691="Acer Aspire 3",38980)</f>
        <v>38980</v>
      </c>
      <c r="P691" t="s">
        <v>1029</v>
      </c>
    </row>
    <row r="692" spans="1:16" x14ac:dyDescent="0.25">
      <c r="A692">
        <v>17003</v>
      </c>
      <c r="B692" t="s">
        <v>10</v>
      </c>
      <c r="C692" t="s">
        <v>347</v>
      </c>
      <c r="D692" t="s">
        <v>1032</v>
      </c>
      <c r="E692" t="s">
        <v>1035</v>
      </c>
      <c r="F692" t="s">
        <v>1011</v>
      </c>
      <c r="G692" t="str">
        <f>UPPER(Table1[[#This Row],[State]])</f>
        <v>GUJARAT</v>
      </c>
      <c r="H692" t="s">
        <v>1016</v>
      </c>
      <c r="I692" t="s">
        <v>997</v>
      </c>
      <c r="J692" t="s">
        <v>1022</v>
      </c>
      <c r="K692">
        <v>5026</v>
      </c>
      <c r="L692" s="1">
        <v>43985</v>
      </c>
      <c r="M692" s="1">
        <v>43990</v>
      </c>
      <c r="N692">
        <v>4</v>
      </c>
      <c r="O692" s="4" cm="1">
        <f t="array" ref="O692">_xlfn.IFS(J692="Dell Inspiron 15",66989,J692="Lenovo IdeaPad Slim 3i",34690,J692="Mi NoteBook Ultra",57999,J692="Samsung Galaxy Go",36990,J692="Acer Aspire 3",38980)</f>
        <v>66989</v>
      </c>
      <c r="P692" t="s">
        <v>1029</v>
      </c>
    </row>
    <row r="693" spans="1:16" x14ac:dyDescent="0.25">
      <c r="A693">
        <v>22098</v>
      </c>
      <c r="B693" t="s">
        <v>97</v>
      </c>
      <c r="C693" t="s">
        <v>270</v>
      </c>
      <c r="D693" t="s">
        <v>1032</v>
      </c>
      <c r="E693" t="s">
        <v>1036</v>
      </c>
      <c r="F693" t="s">
        <v>1012</v>
      </c>
      <c r="G693" t="str">
        <f>UPPER(Table1[[#This Row],[State]])</f>
        <v>DELHI</v>
      </c>
      <c r="H693" t="s">
        <v>1017</v>
      </c>
      <c r="I693" t="s">
        <v>998</v>
      </c>
      <c r="J693" t="s">
        <v>1023</v>
      </c>
      <c r="K693">
        <v>4752</v>
      </c>
      <c r="L693" s="1">
        <v>43912</v>
      </c>
      <c r="M693" s="1">
        <v>43913</v>
      </c>
      <c r="N693">
        <v>8</v>
      </c>
      <c r="O693" s="4" cm="1">
        <f t="array" ref="O693">_xlfn.IFS(J693="Dell Inspiron 15",66989,J693="Lenovo IdeaPad Slim 3i",34690,J693="Mi NoteBook Ultra",57999,J693="Samsung Galaxy Go",36990,J693="Acer Aspire 3",38980)</f>
        <v>34690</v>
      </c>
      <c r="P693" t="s">
        <v>1029</v>
      </c>
    </row>
    <row r="694" spans="1:16" x14ac:dyDescent="0.25">
      <c r="A694">
        <v>20872</v>
      </c>
      <c r="B694" t="s">
        <v>40</v>
      </c>
      <c r="C694" t="s">
        <v>95</v>
      </c>
      <c r="D694" t="s">
        <v>1032</v>
      </c>
      <c r="E694" t="s">
        <v>1033</v>
      </c>
      <c r="F694" t="s">
        <v>1009</v>
      </c>
      <c r="G694" t="str">
        <f>UPPER(Table1[[#This Row],[State]])</f>
        <v>BIHAR</v>
      </c>
      <c r="H694" t="s">
        <v>1014</v>
      </c>
      <c r="I694" t="s">
        <v>999</v>
      </c>
      <c r="J694" t="s">
        <v>1022</v>
      </c>
      <c r="K694">
        <v>5399</v>
      </c>
      <c r="L694" s="1">
        <v>43912</v>
      </c>
      <c r="M694" s="1">
        <v>43915</v>
      </c>
      <c r="N694">
        <v>10</v>
      </c>
      <c r="O694" s="4" cm="1">
        <f t="array" ref="O694">_xlfn.IFS(J694="Dell Inspiron 15",66989,J694="Lenovo IdeaPad Slim 3i",34690,J694="Mi NoteBook Ultra",57999,J694="Samsung Galaxy Go",36990,J694="Acer Aspire 3",38980)</f>
        <v>66989</v>
      </c>
      <c r="P694" t="s">
        <v>1029</v>
      </c>
    </row>
    <row r="695" spans="1:16" x14ac:dyDescent="0.25">
      <c r="A695">
        <v>17696</v>
      </c>
      <c r="B695" t="s">
        <v>54</v>
      </c>
      <c r="C695" t="s">
        <v>374</v>
      </c>
      <c r="D695" t="s">
        <v>1032</v>
      </c>
      <c r="E695" t="s">
        <v>1034</v>
      </c>
      <c r="F695" t="s">
        <v>1010</v>
      </c>
      <c r="G695" t="str">
        <f>UPPER(Table1[[#This Row],[State]])</f>
        <v>PUDUCHERRY</v>
      </c>
      <c r="H695" t="s">
        <v>1015</v>
      </c>
      <c r="I695" t="s">
        <v>1000</v>
      </c>
      <c r="J695" t="s">
        <v>1023</v>
      </c>
      <c r="K695">
        <v>5101</v>
      </c>
      <c r="L695" s="1">
        <v>43968</v>
      </c>
      <c r="M695" s="1">
        <v>43969</v>
      </c>
      <c r="N695">
        <v>3</v>
      </c>
      <c r="O695" s="4" cm="1">
        <f t="array" ref="O695">_xlfn.IFS(J695="Dell Inspiron 15",66989,J695="Lenovo IdeaPad Slim 3i",34690,J695="Mi NoteBook Ultra",57999,J695="Samsung Galaxy Go",36990,J695="Acer Aspire 3",38980)</f>
        <v>34690</v>
      </c>
      <c r="P695" t="s">
        <v>1029</v>
      </c>
    </row>
    <row r="696" spans="1:16" x14ac:dyDescent="0.25">
      <c r="A696">
        <v>18750</v>
      </c>
      <c r="B696" t="s">
        <v>376</v>
      </c>
      <c r="C696" t="s">
        <v>446</v>
      </c>
      <c r="D696" t="s">
        <v>1032</v>
      </c>
      <c r="E696" t="s">
        <v>1033</v>
      </c>
      <c r="F696" t="s">
        <v>1009</v>
      </c>
      <c r="G696" t="str">
        <f>UPPER(Table1[[#This Row],[State]])</f>
        <v>BIHAR</v>
      </c>
      <c r="H696" t="s">
        <v>1014</v>
      </c>
      <c r="I696" t="s">
        <v>1001</v>
      </c>
      <c r="J696" t="s">
        <v>1024</v>
      </c>
      <c r="K696">
        <v>4866</v>
      </c>
      <c r="L696" s="1">
        <v>43879</v>
      </c>
      <c r="M696" s="1">
        <v>43881</v>
      </c>
      <c r="N696">
        <v>8</v>
      </c>
      <c r="O696" s="4" cm="1">
        <f t="array" ref="O696">_xlfn.IFS(J696="Dell Inspiron 15",66989,J696="Lenovo IdeaPad Slim 3i",34690,J696="Mi NoteBook Ultra",57999,J696="Samsung Galaxy Go",36990,J696="Acer Aspire 3",38980)</f>
        <v>57999</v>
      </c>
      <c r="P696" t="s">
        <v>1029</v>
      </c>
    </row>
    <row r="697" spans="1:16" x14ac:dyDescent="0.25">
      <c r="A697">
        <v>22362</v>
      </c>
      <c r="B697" t="s">
        <v>389</v>
      </c>
      <c r="C697" t="s">
        <v>148</v>
      </c>
      <c r="D697" t="s">
        <v>1032</v>
      </c>
      <c r="E697" t="s">
        <v>1035</v>
      </c>
      <c r="F697" t="s">
        <v>1011</v>
      </c>
      <c r="G697" t="str">
        <f>UPPER(Table1[[#This Row],[State]])</f>
        <v>GUJARAT</v>
      </c>
      <c r="H697" t="s">
        <v>1016</v>
      </c>
      <c r="I697" t="s">
        <v>1002</v>
      </c>
      <c r="J697" t="s">
        <v>1025</v>
      </c>
      <c r="K697">
        <v>5314</v>
      </c>
      <c r="L697" s="1">
        <v>43894</v>
      </c>
      <c r="M697" s="1">
        <v>43896</v>
      </c>
      <c r="N697">
        <v>3</v>
      </c>
      <c r="O697" s="4" cm="1">
        <f t="array" ref="O697">_xlfn.IFS(J697="Dell Inspiron 15",66989,J697="Lenovo IdeaPad Slim 3i",34690,J697="Mi NoteBook Ultra",57999,J697="Samsung Galaxy Go",36990,J697="Acer Aspire 3",38980)</f>
        <v>36990</v>
      </c>
      <c r="P697" t="s">
        <v>1029</v>
      </c>
    </row>
    <row r="698" spans="1:16" x14ac:dyDescent="0.25">
      <c r="A698">
        <v>19275</v>
      </c>
      <c r="B698" t="s">
        <v>76</v>
      </c>
      <c r="C698" t="s">
        <v>483</v>
      </c>
      <c r="D698" t="s">
        <v>1032</v>
      </c>
      <c r="E698" t="s">
        <v>1035</v>
      </c>
      <c r="F698" t="s">
        <v>1011</v>
      </c>
      <c r="G698" t="str">
        <f>UPPER(Table1[[#This Row],[State]])</f>
        <v>GUJARAT</v>
      </c>
      <c r="H698" t="s">
        <v>1016</v>
      </c>
      <c r="I698" t="s">
        <v>1003</v>
      </c>
      <c r="J698" t="s">
        <v>1026</v>
      </c>
      <c r="K698">
        <v>4791</v>
      </c>
      <c r="L698" s="1">
        <v>43968</v>
      </c>
      <c r="M698" s="1">
        <v>43970</v>
      </c>
      <c r="N698">
        <v>3</v>
      </c>
      <c r="O698" s="4" cm="1">
        <f t="array" ref="O698">_xlfn.IFS(J698="Dell Inspiron 15",66989,J698="Lenovo IdeaPad Slim 3i",34690,J698="Mi NoteBook Ultra",57999,J698="Samsung Galaxy Go",36990,J698="Acer Aspire 3",38980)</f>
        <v>38980</v>
      </c>
      <c r="P698" t="s">
        <v>1029</v>
      </c>
    </row>
    <row r="699" spans="1:16" x14ac:dyDescent="0.25">
      <c r="A699">
        <v>18133</v>
      </c>
      <c r="B699" t="s">
        <v>274</v>
      </c>
      <c r="C699" t="s">
        <v>85</v>
      </c>
      <c r="D699" t="s">
        <v>1032</v>
      </c>
      <c r="E699" t="s">
        <v>1036</v>
      </c>
      <c r="F699" t="s">
        <v>1012</v>
      </c>
      <c r="G699" t="str">
        <f>UPPER(Table1[[#This Row],[State]])</f>
        <v>DELHI</v>
      </c>
      <c r="H699" t="s">
        <v>1017</v>
      </c>
      <c r="I699" t="s">
        <v>1004</v>
      </c>
      <c r="J699" t="s">
        <v>1022</v>
      </c>
      <c r="K699">
        <v>5048</v>
      </c>
      <c r="L699" s="1">
        <v>43968</v>
      </c>
      <c r="M699" s="1">
        <v>43969</v>
      </c>
      <c r="N699">
        <v>7</v>
      </c>
      <c r="O699" s="4" cm="1">
        <f t="array" ref="O699">_xlfn.IFS(J699="Dell Inspiron 15",66989,J699="Lenovo IdeaPad Slim 3i",34690,J699="Mi NoteBook Ultra",57999,J699="Samsung Galaxy Go",36990,J699="Acer Aspire 3",38980)</f>
        <v>66989</v>
      </c>
      <c r="P699" t="s">
        <v>1029</v>
      </c>
    </row>
    <row r="700" spans="1:16" x14ac:dyDescent="0.25">
      <c r="A700">
        <v>15577</v>
      </c>
      <c r="B700" t="s">
        <v>257</v>
      </c>
      <c r="C700" t="s">
        <v>324</v>
      </c>
      <c r="D700" t="s">
        <v>1032</v>
      </c>
      <c r="E700" t="s">
        <v>1033</v>
      </c>
      <c r="F700" t="s">
        <v>1009</v>
      </c>
      <c r="G700" t="str">
        <f>UPPER(Table1[[#This Row],[State]])</f>
        <v>BIHAR</v>
      </c>
      <c r="H700" t="s">
        <v>1014</v>
      </c>
      <c r="I700" t="s">
        <v>1005</v>
      </c>
      <c r="J700" t="s">
        <v>1024</v>
      </c>
      <c r="K700">
        <v>5414</v>
      </c>
      <c r="L700" s="1">
        <v>43989</v>
      </c>
      <c r="M700" s="1">
        <v>43991</v>
      </c>
      <c r="N700">
        <v>10</v>
      </c>
      <c r="O700" s="4" cm="1">
        <f t="array" ref="O700">_xlfn.IFS(J700="Dell Inspiron 15",66989,J700="Lenovo IdeaPad Slim 3i",34690,J700="Mi NoteBook Ultra",57999,J700="Samsung Galaxy Go",36990,J700="Acer Aspire 3",38980)</f>
        <v>57999</v>
      </c>
      <c r="P700" t="s">
        <v>1029</v>
      </c>
    </row>
    <row r="701" spans="1:16" x14ac:dyDescent="0.25">
      <c r="A701">
        <v>15578</v>
      </c>
      <c r="B701" t="s">
        <v>127</v>
      </c>
      <c r="C701" t="s">
        <v>205</v>
      </c>
      <c r="D701" t="s">
        <v>1032</v>
      </c>
      <c r="E701" t="s">
        <v>1034</v>
      </c>
      <c r="F701" t="s">
        <v>1010</v>
      </c>
      <c r="G701" t="str">
        <f>UPPER(Table1[[#This Row],[State]])</f>
        <v>PUDUCHERRY</v>
      </c>
      <c r="H701" t="s">
        <v>1015</v>
      </c>
      <c r="I701" t="s">
        <v>1006</v>
      </c>
      <c r="J701" t="s">
        <v>1026</v>
      </c>
      <c r="K701">
        <v>5351</v>
      </c>
      <c r="L701" s="1">
        <v>43954</v>
      </c>
      <c r="M701" s="1">
        <v>43956</v>
      </c>
      <c r="N701">
        <v>8</v>
      </c>
      <c r="O701" s="4" cm="1">
        <f t="array" ref="O701">_xlfn.IFS(J701="Dell Inspiron 15",66989,J701="Lenovo IdeaPad Slim 3i",34690,J701="Mi NoteBook Ultra",57999,J701="Samsung Galaxy Go",36990,J701="Acer Aspire 3",38980)</f>
        <v>38980</v>
      </c>
      <c r="P701" t="s">
        <v>1029</v>
      </c>
    </row>
    <row r="702" spans="1:16" x14ac:dyDescent="0.25">
      <c r="G702" t="str">
        <f>UPPER(Table1[[#This Row],[State]])</f>
        <v/>
      </c>
      <c r="L702" s="1"/>
      <c r="M702" s="1"/>
      <c r="O702" s="4" t="e" cm="1">
        <f t="array" ref="O702">_xlfn.IFS(J702="Dell Inspiron 15",66989,J702="Lenovo IdeaPad Slim 3i",34690,J702="Mi NoteBook Ultra",57999,J702="Samsung Galaxy Go",36990,J702="Acer Aspire 3",38980)</f>
        <v>#N/A</v>
      </c>
    </row>
    <row r="703" spans="1:16" x14ac:dyDescent="0.25">
      <c r="G703" t="str">
        <f>UPPER(Table1[[#This Row],[State]])</f>
        <v/>
      </c>
      <c r="L703" s="1"/>
      <c r="M703" s="1"/>
      <c r="O703" s="4" t="e" cm="1">
        <f t="array" ref="O703">_xlfn.IFS(J703="Dell Inspiron 15",66989,J703="Lenovo IdeaPad Slim 3i",34690,J703="Mi NoteBook Ultra",57999,J703="Samsung Galaxy Go",36990,J703="Acer Aspire 3",38980)</f>
        <v>#N/A</v>
      </c>
    </row>
    <row r="704" spans="1:16" x14ac:dyDescent="0.25">
      <c r="G704" t="str">
        <f>UPPER(Table1[[#This Row],[State]])</f>
        <v/>
      </c>
      <c r="L704" s="1"/>
      <c r="M704" s="1"/>
      <c r="O704" s="4" t="e" cm="1">
        <f t="array" ref="O704">_xlfn.IFS(J704="Dell Inspiron 15",66989,J704="Lenovo IdeaPad Slim 3i",34690,J704="Mi NoteBook Ultra",57999,J704="Samsung Galaxy Go",36990,J704="Acer Aspire 3",38980)</f>
        <v>#N/A</v>
      </c>
    </row>
    <row r="705" spans="7:15" x14ac:dyDescent="0.25">
      <c r="G705" t="str">
        <f>UPPER(Table1[[#This Row],[State]])</f>
        <v/>
      </c>
      <c r="L705" s="1"/>
      <c r="M705" s="1"/>
      <c r="O705" s="4" t="e" cm="1">
        <f t="array" ref="O705">_xlfn.IFS(J705="Dell Inspiron 15",66989,J705="Lenovo IdeaPad Slim 3i",34690,J705="Mi NoteBook Ultra",57999,J705="Samsung Galaxy Go",36990,J705="Acer Aspire 3",38980)</f>
        <v>#N/A</v>
      </c>
    </row>
    <row r="706" spans="7:15" x14ac:dyDescent="0.25">
      <c r="G706" t="str">
        <f>UPPER(Table1[[#This Row],[State]])</f>
        <v/>
      </c>
      <c r="L706" s="1"/>
      <c r="M706" s="1"/>
      <c r="O706" s="4" t="e" cm="1">
        <f t="array" ref="O706">_xlfn.IFS(J706="Dell Inspiron 15",66989,J706="Lenovo IdeaPad Slim 3i",34690,J706="Mi NoteBook Ultra",57999,J706="Samsung Galaxy Go",36990,J706="Acer Aspire 3",38980)</f>
        <v>#N/A</v>
      </c>
    </row>
    <row r="707" spans="7:15" x14ac:dyDescent="0.25">
      <c r="G707" t="str">
        <f>UPPER(Table1[[#This Row],[State]])</f>
        <v/>
      </c>
      <c r="L707" s="1"/>
      <c r="M707" s="1"/>
      <c r="O707" s="4" t="e" cm="1">
        <f t="array" ref="O707">_xlfn.IFS(J707="Dell Inspiron 15",66989,J707="Lenovo IdeaPad Slim 3i",34690,J707="Mi NoteBook Ultra",57999,J707="Samsung Galaxy Go",36990,J707="Acer Aspire 3",38980)</f>
        <v>#N/A</v>
      </c>
    </row>
    <row r="708" spans="7:15" x14ac:dyDescent="0.25">
      <c r="G708" t="str">
        <f>UPPER(Table1[[#This Row],[State]])</f>
        <v/>
      </c>
      <c r="L708" s="1"/>
      <c r="M708" s="1"/>
      <c r="O708" s="4" t="e" cm="1">
        <f t="array" ref="O708">_xlfn.IFS(J708="Dell Inspiron 15",66989,J708="Lenovo IdeaPad Slim 3i",34690,J708="Mi NoteBook Ultra",57999,J708="Samsung Galaxy Go",36990,J708="Acer Aspire 3",38980)</f>
        <v>#N/A</v>
      </c>
    </row>
    <row r="709" spans="7:15" x14ac:dyDescent="0.25">
      <c r="G709" t="str">
        <f>UPPER(Table1[[#This Row],[State]])</f>
        <v/>
      </c>
      <c r="L709" s="1"/>
      <c r="M709" s="1"/>
      <c r="O709" s="4" t="e" cm="1">
        <f t="array" ref="O709">_xlfn.IFS(J709="Dell Inspiron 15",66989,J709="Lenovo IdeaPad Slim 3i",34690,J709="Mi NoteBook Ultra",57999,J709="Samsung Galaxy Go",36990,J709="Acer Aspire 3",38980)</f>
        <v>#N/A</v>
      </c>
    </row>
    <row r="710" spans="7:15" x14ac:dyDescent="0.25">
      <c r="G710" t="str">
        <f>UPPER(Table1[[#This Row],[State]])</f>
        <v/>
      </c>
      <c r="L710" s="1"/>
      <c r="M710" s="1"/>
      <c r="O710" s="4" t="e" cm="1">
        <f t="array" ref="O710">_xlfn.IFS(J710="Dell Inspiron 15",66989,J710="Lenovo IdeaPad Slim 3i",34690,J710="Mi NoteBook Ultra",57999,J710="Samsung Galaxy Go",36990,J710="Acer Aspire 3",38980)</f>
        <v>#N/A</v>
      </c>
    </row>
    <row r="711" spans="7:15" x14ac:dyDescent="0.25">
      <c r="G711" t="str">
        <f>UPPER(Table1[[#This Row],[State]])</f>
        <v/>
      </c>
      <c r="L711" s="1"/>
      <c r="M711" s="1"/>
      <c r="O711" s="4" t="e" cm="1">
        <f t="array" ref="O711">_xlfn.IFS(J711="Dell Inspiron 15",66989,J711="Lenovo IdeaPad Slim 3i",34690,J711="Mi NoteBook Ultra",57999,J711="Samsung Galaxy Go",36990,J711="Acer Aspire 3",38980)</f>
        <v>#N/A</v>
      </c>
    </row>
    <row r="712" spans="7:15" x14ac:dyDescent="0.25">
      <c r="G712" t="str">
        <f>UPPER(Table1[[#This Row],[State]])</f>
        <v/>
      </c>
      <c r="L712" s="1"/>
      <c r="M712" s="1"/>
      <c r="O712" s="4" t="e" cm="1">
        <f t="array" ref="O712">_xlfn.IFS(J712="Dell Inspiron 15",66989,J712="Lenovo IdeaPad Slim 3i",34690,J712="Mi NoteBook Ultra",57999,J712="Samsung Galaxy Go",36990,J712="Acer Aspire 3",38980)</f>
        <v>#N/A</v>
      </c>
    </row>
    <row r="713" spans="7:15" x14ac:dyDescent="0.25">
      <c r="G713" t="str">
        <f>UPPER(Table1[[#This Row],[State]])</f>
        <v/>
      </c>
      <c r="L713" s="1"/>
      <c r="M713" s="1"/>
      <c r="O713" s="4" t="e" cm="1">
        <f t="array" ref="O713">_xlfn.IFS(J713="Dell Inspiron 15",66989,J713="Lenovo IdeaPad Slim 3i",34690,J713="Mi NoteBook Ultra",57999,J713="Samsung Galaxy Go",36990,J713="Acer Aspire 3",38980)</f>
        <v>#N/A</v>
      </c>
    </row>
    <row r="714" spans="7:15" x14ac:dyDescent="0.25">
      <c r="G714" t="str">
        <f>UPPER(Table1[[#This Row],[State]])</f>
        <v/>
      </c>
      <c r="L714" s="1"/>
      <c r="M714" s="1"/>
      <c r="O714" s="4" t="e" cm="1">
        <f t="array" ref="O714">_xlfn.IFS(J714="Dell Inspiron 15",66989,J714="Lenovo IdeaPad Slim 3i",34690,J714="Mi NoteBook Ultra",57999,J714="Samsung Galaxy Go",36990,J714="Acer Aspire 3",38980)</f>
        <v>#N/A</v>
      </c>
    </row>
    <row r="715" spans="7:15" x14ac:dyDescent="0.25">
      <c r="G715" t="str">
        <f>UPPER(Table1[[#This Row],[State]])</f>
        <v/>
      </c>
      <c r="L715" s="1"/>
      <c r="M715" s="1"/>
      <c r="O715" s="4" t="e" cm="1">
        <f t="array" ref="O715">_xlfn.IFS(J715="Dell Inspiron 15",66989,J715="Lenovo IdeaPad Slim 3i",34690,J715="Mi NoteBook Ultra",57999,J715="Samsung Galaxy Go",36990,J715="Acer Aspire 3",38980)</f>
        <v>#N/A</v>
      </c>
    </row>
    <row r="716" spans="7:15" x14ac:dyDescent="0.25">
      <c r="G716" t="str">
        <f>UPPER(Table1[[#This Row],[State]])</f>
        <v/>
      </c>
      <c r="L716" s="1"/>
      <c r="M716" s="1"/>
      <c r="O716" s="4" t="e" cm="1">
        <f t="array" ref="O716">_xlfn.IFS(J716="Dell Inspiron 15",66989,J716="Lenovo IdeaPad Slim 3i",34690,J716="Mi NoteBook Ultra",57999,J716="Samsung Galaxy Go",36990,J716="Acer Aspire 3",38980)</f>
        <v>#N/A</v>
      </c>
    </row>
    <row r="717" spans="7:15" x14ac:dyDescent="0.25">
      <c r="G717" t="str">
        <f>UPPER(Table1[[#This Row],[State]])</f>
        <v/>
      </c>
      <c r="L717" s="1"/>
      <c r="M717" s="1"/>
      <c r="O717" s="4" t="e" cm="1">
        <f t="array" ref="O717">_xlfn.IFS(J717="Dell Inspiron 15",66989,J717="Lenovo IdeaPad Slim 3i",34690,J717="Mi NoteBook Ultra",57999,J717="Samsung Galaxy Go",36990,J717="Acer Aspire 3",38980)</f>
        <v>#N/A</v>
      </c>
    </row>
    <row r="718" spans="7:15" x14ac:dyDescent="0.25">
      <c r="G718" t="str">
        <f>UPPER(Table1[[#This Row],[State]])</f>
        <v/>
      </c>
      <c r="L718" s="1"/>
      <c r="M718" s="1"/>
      <c r="O718" s="4" t="e" cm="1">
        <f t="array" ref="O718">_xlfn.IFS(J718="Dell Inspiron 15",66989,J718="Lenovo IdeaPad Slim 3i",34690,J718="Mi NoteBook Ultra",57999,J718="Samsung Galaxy Go",36990,J718="Acer Aspire 3",38980)</f>
        <v>#N/A</v>
      </c>
    </row>
    <row r="719" spans="7:15" x14ac:dyDescent="0.25">
      <c r="G719" t="str">
        <f>UPPER(Table1[[#This Row],[State]])</f>
        <v/>
      </c>
      <c r="L719" s="1"/>
      <c r="M719" s="1"/>
      <c r="O719" s="4" t="e" cm="1">
        <f t="array" ref="O719">_xlfn.IFS(J719="Dell Inspiron 15",66989,J719="Lenovo IdeaPad Slim 3i",34690,J719="Mi NoteBook Ultra",57999,J719="Samsung Galaxy Go",36990,J719="Acer Aspire 3",38980)</f>
        <v>#N/A</v>
      </c>
    </row>
    <row r="720" spans="7:15" x14ac:dyDescent="0.25">
      <c r="G720" t="str">
        <f>UPPER(Table1[[#This Row],[State]])</f>
        <v/>
      </c>
      <c r="L720" s="1"/>
      <c r="M720" s="1"/>
      <c r="O720" s="4" t="e" cm="1">
        <f t="array" ref="O720">_xlfn.IFS(J720="Dell Inspiron 15",66989,J720="Lenovo IdeaPad Slim 3i",34690,J720="Mi NoteBook Ultra",57999,J720="Samsung Galaxy Go",36990,J720="Acer Aspire 3",38980)</f>
        <v>#N/A</v>
      </c>
    </row>
    <row r="721" spans="7:15" x14ac:dyDescent="0.25">
      <c r="G721" t="str">
        <f>UPPER(Table1[[#This Row],[State]])</f>
        <v/>
      </c>
      <c r="L721" s="1"/>
      <c r="M721" s="1"/>
      <c r="O721" s="4" t="e" cm="1">
        <f t="array" ref="O721">_xlfn.IFS(J721="Dell Inspiron 15",66989,J721="Lenovo IdeaPad Slim 3i",34690,J721="Mi NoteBook Ultra",57999,J721="Samsung Galaxy Go",36990,J721="Acer Aspire 3",38980)</f>
        <v>#N/A</v>
      </c>
    </row>
    <row r="722" spans="7:15" x14ac:dyDescent="0.25">
      <c r="G722" t="str">
        <f>UPPER(Table1[[#This Row],[State]])</f>
        <v/>
      </c>
      <c r="L722" s="1"/>
      <c r="M722" s="1"/>
      <c r="O722" s="4" t="e" cm="1">
        <f t="array" ref="O722">_xlfn.IFS(J722="Dell Inspiron 15",66989,J722="Lenovo IdeaPad Slim 3i",34690,J722="Mi NoteBook Ultra",57999,J722="Samsung Galaxy Go",36990,J722="Acer Aspire 3",38980)</f>
        <v>#N/A</v>
      </c>
    </row>
    <row r="723" spans="7:15" x14ac:dyDescent="0.25">
      <c r="G723" t="str">
        <f>UPPER(Table1[[#This Row],[State]])</f>
        <v/>
      </c>
      <c r="L723" s="1"/>
      <c r="M723" s="1"/>
      <c r="O723" s="4" t="e" cm="1">
        <f t="array" ref="O723">_xlfn.IFS(J723="Dell Inspiron 15",66989,J723="Lenovo IdeaPad Slim 3i",34690,J723="Mi NoteBook Ultra",57999,J723="Samsung Galaxy Go",36990,J723="Acer Aspire 3",38980)</f>
        <v>#N/A</v>
      </c>
    </row>
    <row r="724" spans="7:15" x14ac:dyDescent="0.25">
      <c r="G724" t="str">
        <f>UPPER(Table1[[#This Row],[State]])</f>
        <v/>
      </c>
      <c r="L724" s="1"/>
      <c r="M724" s="1"/>
      <c r="O724" s="4" t="e" cm="1">
        <f t="array" ref="O724">_xlfn.IFS(J724="Dell Inspiron 15",66989,J724="Lenovo IdeaPad Slim 3i",34690,J724="Mi NoteBook Ultra",57999,J724="Samsung Galaxy Go",36990,J724="Acer Aspire 3",38980)</f>
        <v>#N/A</v>
      </c>
    </row>
    <row r="725" spans="7:15" x14ac:dyDescent="0.25">
      <c r="G725" t="str">
        <f>UPPER(Table1[[#This Row],[State]])</f>
        <v/>
      </c>
      <c r="L725" s="1"/>
      <c r="M725" s="1"/>
      <c r="O725" s="4" t="e" cm="1">
        <f t="array" ref="O725">_xlfn.IFS(J725="Dell Inspiron 15",66989,J725="Lenovo IdeaPad Slim 3i",34690,J725="Mi NoteBook Ultra",57999,J725="Samsung Galaxy Go",36990,J725="Acer Aspire 3",38980)</f>
        <v>#N/A</v>
      </c>
    </row>
    <row r="726" spans="7:15" x14ac:dyDescent="0.25">
      <c r="G726" t="str">
        <f>UPPER(Table1[[#This Row],[State]])</f>
        <v/>
      </c>
      <c r="L726" s="1"/>
      <c r="M726" s="1"/>
      <c r="O726" s="4" t="e" cm="1">
        <f t="array" ref="O726">_xlfn.IFS(J726="Dell Inspiron 15",66989,J726="Lenovo IdeaPad Slim 3i",34690,J726="Mi NoteBook Ultra",57999,J726="Samsung Galaxy Go",36990,J726="Acer Aspire 3",38980)</f>
        <v>#N/A</v>
      </c>
    </row>
    <row r="727" spans="7:15" x14ac:dyDescent="0.25">
      <c r="G727" t="str">
        <f>UPPER(Table1[[#This Row],[State]])</f>
        <v/>
      </c>
      <c r="L727" s="1"/>
      <c r="M727" s="1"/>
      <c r="O727" s="4" t="e" cm="1">
        <f t="array" ref="O727">_xlfn.IFS(J727="Dell Inspiron 15",66989,J727="Lenovo IdeaPad Slim 3i",34690,J727="Mi NoteBook Ultra",57999,J727="Samsung Galaxy Go",36990,J727="Acer Aspire 3",38980)</f>
        <v>#N/A</v>
      </c>
    </row>
    <row r="728" spans="7:15" x14ac:dyDescent="0.25">
      <c r="G728" t="str">
        <f>UPPER(Table1[[#This Row],[State]])</f>
        <v/>
      </c>
      <c r="L728" s="1"/>
      <c r="M728" s="1"/>
      <c r="O728" s="4" t="e" cm="1">
        <f t="array" ref="O728">_xlfn.IFS(J728="Dell Inspiron 15",66989,J728="Lenovo IdeaPad Slim 3i",34690,J728="Mi NoteBook Ultra",57999,J728="Samsung Galaxy Go",36990,J728="Acer Aspire 3",38980)</f>
        <v>#N/A</v>
      </c>
    </row>
    <row r="729" spans="7:15" x14ac:dyDescent="0.25">
      <c r="G729" t="str">
        <f>UPPER(Table1[[#This Row],[State]])</f>
        <v/>
      </c>
      <c r="L729" s="1"/>
      <c r="M729" s="1"/>
      <c r="O729" s="4" t="e" cm="1">
        <f t="array" ref="O729">_xlfn.IFS(J729="Dell Inspiron 15",66989,J729="Lenovo IdeaPad Slim 3i",34690,J729="Mi NoteBook Ultra",57999,J729="Samsung Galaxy Go",36990,J729="Acer Aspire 3",38980)</f>
        <v>#N/A</v>
      </c>
    </row>
    <row r="730" spans="7:15" x14ac:dyDescent="0.25">
      <c r="G730" t="str">
        <f>UPPER(Table1[[#This Row],[State]])</f>
        <v/>
      </c>
      <c r="L730" s="1"/>
      <c r="M730" s="1"/>
      <c r="O730" s="4" t="e" cm="1">
        <f t="array" ref="O730">_xlfn.IFS(J730="Dell Inspiron 15",66989,J730="Lenovo IdeaPad Slim 3i",34690,J730="Mi NoteBook Ultra",57999,J730="Samsung Galaxy Go",36990,J730="Acer Aspire 3",38980)</f>
        <v>#N/A</v>
      </c>
    </row>
    <row r="731" spans="7:15" x14ac:dyDescent="0.25">
      <c r="G731" t="str">
        <f>UPPER(Table1[[#This Row],[State]])</f>
        <v/>
      </c>
      <c r="L731" s="1"/>
      <c r="M731" s="1"/>
      <c r="O731" s="4" t="e" cm="1">
        <f t="array" ref="O731">_xlfn.IFS(J731="Dell Inspiron 15",66989,J731="Lenovo IdeaPad Slim 3i",34690,J731="Mi NoteBook Ultra",57999,J731="Samsung Galaxy Go",36990,J731="Acer Aspire 3",38980)</f>
        <v>#N/A</v>
      </c>
    </row>
    <row r="732" spans="7:15" x14ac:dyDescent="0.25">
      <c r="G732" t="str">
        <f>UPPER(Table1[[#This Row],[State]])</f>
        <v/>
      </c>
      <c r="L732" s="1"/>
      <c r="M732" s="1"/>
      <c r="O732" s="4" t="e" cm="1">
        <f t="array" ref="O732">_xlfn.IFS(J732="Dell Inspiron 15",66989,J732="Lenovo IdeaPad Slim 3i",34690,J732="Mi NoteBook Ultra",57999,J732="Samsung Galaxy Go",36990,J732="Acer Aspire 3",38980)</f>
        <v>#N/A</v>
      </c>
    </row>
    <row r="733" spans="7:15" x14ac:dyDescent="0.25">
      <c r="G733" t="str">
        <f>UPPER(Table1[[#This Row],[State]])</f>
        <v/>
      </c>
      <c r="L733" s="1"/>
      <c r="M733" s="1"/>
      <c r="O733" s="4" t="e" cm="1">
        <f t="array" ref="O733">_xlfn.IFS(J733="Dell Inspiron 15",66989,J733="Lenovo IdeaPad Slim 3i",34690,J733="Mi NoteBook Ultra",57999,J733="Samsung Galaxy Go",36990,J733="Acer Aspire 3",38980)</f>
        <v>#N/A</v>
      </c>
    </row>
    <row r="734" spans="7:15" x14ac:dyDescent="0.25">
      <c r="G734" t="str">
        <f>UPPER(Table1[[#This Row],[State]])</f>
        <v/>
      </c>
      <c r="L734" s="1"/>
      <c r="M734" s="1"/>
      <c r="O734" s="4" t="e" cm="1">
        <f t="array" ref="O734">_xlfn.IFS(J734="Dell Inspiron 15",66989,J734="Lenovo IdeaPad Slim 3i",34690,J734="Mi NoteBook Ultra",57999,J734="Samsung Galaxy Go",36990,J734="Acer Aspire 3",38980)</f>
        <v>#N/A</v>
      </c>
    </row>
    <row r="735" spans="7:15" x14ac:dyDescent="0.25">
      <c r="G735" t="str">
        <f>UPPER(Table1[[#This Row],[State]])</f>
        <v/>
      </c>
      <c r="L735" s="1"/>
      <c r="M735" s="1"/>
      <c r="O735" s="4" t="e" cm="1">
        <f t="array" ref="O735">_xlfn.IFS(J735="Dell Inspiron 15",66989,J735="Lenovo IdeaPad Slim 3i",34690,J735="Mi NoteBook Ultra",57999,J735="Samsung Galaxy Go",36990,J735="Acer Aspire 3",38980)</f>
        <v>#N/A</v>
      </c>
    </row>
    <row r="736" spans="7:15" x14ac:dyDescent="0.25">
      <c r="G736" t="str">
        <f>UPPER(Table1[[#This Row],[State]])</f>
        <v/>
      </c>
      <c r="L736" s="1"/>
      <c r="M736" s="1"/>
      <c r="O736" s="4" t="e" cm="1">
        <f t="array" ref="O736">_xlfn.IFS(J736="Dell Inspiron 15",66989,J736="Lenovo IdeaPad Slim 3i",34690,J736="Mi NoteBook Ultra",57999,J736="Samsung Galaxy Go",36990,J736="Acer Aspire 3",38980)</f>
        <v>#N/A</v>
      </c>
    </row>
    <row r="737" spans="7:15" x14ac:dyDescent="0.25">
      <c r="G737" t="str">
        <f>UPPER(Table1[[#This Row],[State]])</f>
        <v/>
      </c>
      <c r="L737" s="1"/>
      <c r="M737" s="1"/>
      <c r="O737" s="4" t="e" cm="1">
        <f t="array" ref="O737">_xlfn.IFS(J737="Dell Inspiron 15",66989,J737="Lenovo IdeaPad Slim 3i",34690,J737="Mi NoteBook Ultra",57999,J737="Samsung Galaxy Go",36990,J737="Acer Aspire 3",38980)</f>
        <v>#N/A</v>
      </c>
    </row>
    <row r="738" spans="7:15" x14ac:dyDescent="0.25">
      <c r="G738" t="str">
        <f>UPPER(Table1[[#This Row],[State]])</f>
        <v/>
      </c>
      <c r="L738" s="1"/>
      <c r="M738" s="1"/>
      <c r="O738" s="4" t="e" cm="1">
        <f t="array" ref="O738">_xlfn.IFS(J738="Dell Inspiron 15",66989,J738="Lenovo IdeaPad Slim 3i",34690,J738="Mi NoteBook Ultra",57999,J738="Samsung Galaxy Go",36990,J738="Acer Aspire 3",38980)</f>
        <v>#N/A</v>
      </c>
    </row>
    <row r="739" spans="7:15" x14ac:dyDescent="0.25">
      <c r="G739" t="str">
        <f>UPPER(Table1[[#This Row],[State]])</f>
        <v/>
      </c>
      <c r="L739" s="1"/>
      <c r="M739" s="1"/>
      <c r="O739" s="4" t="e" cm="1">
        <f t="array" ref="O739">_xlfn.IFS(J739="Dell Inspiron 15",66989,J739="Lenovo IdeaPad Slim 3i",34690,J739="Mi NoteBook Ultra",57999,J739="Samsung Galaxy Go",36990,J739="Acer Aspire 3",38980)</f>
        <v>#N/A</v>
      </c>
    </row>
    <row r="740" spans="7:15" x14ac:dyDescent="0.25">
      <c r="G740" t="str">
        <f>UPPER(Table1[[#This Row],[State]])</f>
        <v/>
      </c>
      <c r="L740" s="1"/>
      <c r="M740" s="1"/>
      <c r="O740" s="4" t="e" cm="1">
        <f t="array" ref="O740">_xlfn.IFS(J740="Dell Inspiron 15",66989,J740="Lenovo IdeaPad Slim 3i",34690,J740="Mi NoteBook Ultra",57999,J740="Samsung Galaxy Go",36990,J740="Acer Aspire 3",38980)</f>
        <v>#N/A</v>
      </c>
    </row>
    <row r="741" spans="7:15" x14ac:dyDescent="0.25">
      <c r="G741" t="str">
        <f>UPPER(Table1[[#This Row],[State]])</f>
        <v/>
      </c>
      <c r="L741" s="1"/>
      <c r="M741" s="1"/>
      <c r="O741" s="4" t="e" cm="1">
        <f t="array" ref="O741">_xlfn.IFS(J741="Dell Inspiron 15",66989,J741="Lenovo IdeaPad Slim 3i",34690,J741="Mi NoteBook Ultra",57999,J741="Samsung Galaxy Go",36990,J741="Acer Aspire 3",38980)</f>
        <v>#N/A</v>
      </c>
    </row>
    <row r="742" spans="7:15" x14ac:dyDescent="0.25">
      <c r="G742" t="str">
        <f>UPPER(Table1[[#This Row],[State]])</f>
        <v/>
      </c>
      <c r="L742" s="1"/>
      <c r="M742" s="1"/>
      <c r="O742" s="4" t="e" cm="1">
        <f t="array" ref="O742">_xlfn.IFS(J742="Dell Inspiron 15",66989,J742="Lenovo IdeaPad Slim 3i",34690,J742="Mi NoteBook Ultra",57999,J742="Samsung Galaxy Go",36990,J742="Acer Aspire 3",38980)</f>
        <v>#N/A</v>
      </c>
    </row>
    <row r="743" spans="7:15" x14ac:dyDescent="0.25">
      <c r="G743" t="str">
        <f>UPPER(Table1[[#This Row],[State]])</f>
        <v/>
      </c>
      <c r="L743" s="1"/>
      <c r="M743" s="1"/>
      <c r="O743" s="4" t="e" cm="1">
        <f t="array" ref="O743">_xlfn.IFS(J743="Dell Inspiron 15",66989,J743="Lenovo IdeaPad Slim 3i",34690,J743="Mi NoteBook Ultra",57999,J743="Samsung Galaxy Go",36990,J743="Acer Aspire 3",38980)</f>
        <v>#N/A</v>
      </c>
    </row>
    <row r="744" spans="7:15" x14ac:dyDescent="0.25">
      <c r="G744" t="str">
        <f>UPPER(Table1[[#This Row],[State]])</f>
        <v/>
      </c>
      <c r="L744" s="1"/>
      <c r="M744" s="1"/>
      <c r="O744" s="4" t="e" cm="1">
        <f t="array" ref="O744">_xlfn.IFS(J744="Dell Inspiron 15",66989,J744="Lenovo IdeaPad Slim 3i",34690,J744="Mi NoteBook Ultra",57999,J744="Samsung Galaxy Go",36990,J744="Acer Aspire 3",38980)</f>
        <v>#N/A</v>
      </c>
    </row>
    <row r="745" spans="7:15" x14ac:dyDescent="0.25">
      <c r="G745" t="str">
        <f>UPPER(Table1[[#This Row],[State]])</f>
        <v/>
      </c>
      <c r="L745" s="1"/>
      <c r="M745" s="1"/>
      <c r="O745" s="4" t="e" cm="1">
        <f t="array" ref="O745">_xlfn.IFS(J745="Dell Inspiron 15",66989,J745="Lenovo IdeaPad Slim 3i",34690,J745="Mi NoteBook Ultra",57999,J745="Samsung Galaxy Go",36990,J745="Acer Aspire 3",38980)</f>
        <v>#N/A</v>
      </c>
    </row>
    <row r="746" spans="7:15" x14ac:dyDescent="0.25">
      <c r="G746" t="str">
        <f>UPPER(Table1[[#This Row],[State]])</f>
        <v/>
      </c>
      <c r="L746" s="1"/>
      <c r="M746" s="1"/>
      <c r="O746" s="4" t="e" cm="1">
        <f t="array" ref="O746">_xlfn.IFS(J746="Dell Inspiron 15",66989,J746="Lenovo IdeaPad Slim 3i",34690,J746="Mi NoteBook Ultra",57999,J746="Samsung Galaxy Go",36990,J746="Acer Aspire 3",38980)</f>
        <v>#N/A</v>
      </c>
    </row>
    <row r="747" spans="7:15" x14ac:dyDescent="0.25">
      <c r="G747" t="str">
        <f>UPPER(Table1[[#This Row],[State]])</f>
        <v/>
      </c>
      <c r="L747" s="1"/>
      <c r="M747" s="1"/>
      <c r="O747" s="4" t="e" cm="1">
        <f t="array" ref="O747">_xlfn.IFS(J747="Dell Inspiron 15",66989,J747="Lenovo IdeaPad Slim 3i",34690,J747="Mi NoteBook Ultra",57999,J747="Samsung Galaxy Go",36990,J747="Acer Aspire 3",38980)</f>
        <v>#N/A</v>
      </c>
    </row>
    <row r="748" spans="7:15" x14ac:dyDescent="0.25">
      <c r="G748" t="str">
        <f>UPPER(Table1[[#This Row],[State]])</f>
        <v/>
      </c>
      <c r="L748" s="1"/>
      <c r="M748" s="1"/>
      <c r="O748" s="4" t="e" cm="1">
        <f t="array" ref="O748">_xlfn.IFS(J748="Dell Inspiron 15",66989,J748="Lenovo IdeaPad Slim 3i",34690,J748="Mi NoteBook Ultra",57999,J748="Samsung Galaxy Go",36990,J748="Acer Aspire 3",38980)</f>
        <v>#N/A</v>
      </c>
    </row>
    <row r="749" spans="7:15" x14ac:dyDescent="0.25">
      <c r="G749" t="str">
        <f>UPPER(Table1[[#This Row],[State]])</f>
        <v/>
      </c>
      <c r="L749" s="1"/>
      <c r="M749" s="1"/>
      <c r="O749" s="4" t="e" cm="1">
        <f t="array" ref="O749">_xlfn.IFS(J749="Dell Inspiron 15",66989,J749="Lenovo IdeaPad Slim 3i",34690,J749="Mi NoteBook Ultra",57999,J749="Samsung Galaxy Go",36990,J749="Acer Aspire 3",38980)</f>
        <v>#N/A</v>
      </c>
    </row>
    <row r="750" spans="7:15" x14ac:dyDescent="0.25">
      <c r="G750" t="str">
        <f>UPPER(Table1[[#This Row],[State]])</f>
        <v/>
      </c>
      <c r="L750" s="1"/>
      <c r="M750" s="1"/>
      <c r="O750" s="4" t="e" cm="1">
        <f t="array" ref="O750">_xlfn.IFS(J750="Dell Inspiron 15",66989,J750="Lenovo IdeaPad Slim 3i",34690,J750="Mi NoteBook Ultra",57999,J750="Samsung Galaxy Go",36990,J750="Acer Aspire 3",38980)</f>
        <v>#N/A</v>
      </c>
    </row>
    <row r="751" spans="7:15" x14ac:dyDescent="0.25">
      <c r="G751" t="str">
        <f>UPPER(Table1[[#This Row],[State]])</f>
        <v/>
      </c>
      <c r="L751" s="1"/>
      <c r="M751" s="1"/>
      <c r="O751" s="4" t="e" cm="1">
        <f t="array" ref="O751">_xlfn.IFS(J751="Dell Inspiron 15",66989,J751="Lenovo IdeaPad Slim 3i",34690,J751="Mi NoteBook Ultra",57999,J751="Samsung Galaxy Go",36990,J751="Acer Aspire 3",38980)</f>
        <v>#N/A</v>
      </c>
    </row>
    <row r="752" spans="7:15" x14ac:dyDescent="0.25">
      <c r="G752" t="str">
        <f>UPPER(Table1[[#This Row],[State]])</f>
        <v/>
      </c>
      <c r="L752" s="1"/>
      <c r="M752" s="1"/>
      <c r="O752" s="4" t="e" cm="1">
        <f t="array" ref="O752">_xlfn.IFS(J752="Dell Inspiron 15",66989,J752="Lenovo IdeaPad Slim 3i",34690,J752="Mi NoteBook Ultra",57999,J752="Samsung Galaxy Go",36990,J752="Acer Aspire 3",38980)</f>
        <v>#N/A</v>
      </c>
    </row>
    <row r="753" spans="7:15" x14ac:dyDescent="0.25">
      <c r="G753" t="str">
        <f>UPPER(Table1[[#This Row],[State]])</f>
        <v/>
      </c>
      <c r="L753" s="1"/>
      <c r="M753" s="1"/>
      <c r="O753" s="4" t="e" cm="1">
        <f t="array" ref="O753">_xlfn.IFS(J753="Dell Inspiron 15",66989,J753="Lenovo IdeaPad Slim 3i",34690,J753="Mi NoteBook Ultra",57999,J753="Samsung Galaxy Go",36990,J753="Acer Aspire 3",38980)</f>
        <v>#N/A</v>
      </c>
    </row>
    <row r="754" spans="7:15" x14ac:dyDescent="0.25">
      <c r="G754" t="str">
        <f>UPPER(Table1[[#This Row],[State]])</f>
        <v/>
      </c>
      <c r="L754" s="1"/>
      <c r="M754" s="1"/>
      <c r="O754" s="4" t="e" cm="1">
        <f t="array" ref="O754">_xlfn.IFS(J754="Dell Inspiron 15",66989,J754="Lenovo IdeaPad Slim 3i",34690,J754="Mi NoteBook Ultra",57999,J754="Samsung Galaxy Go",36990,J754="Acer Aspire 3",38980)</f>
        <v>#N/A</v>
      </c>
    </row>
    <row r="755" spans="7:15" x14ac:dyDescent="0.25">
      <c r="G755" t="str">
        <f>UPPER(Table1[[#This Row],[State]])</f>
        <v/>
      </c>
      <c r="L755" s="1"/>
      <c r="M755" s="1"/>
      <c r="O755" s="4" t="e" cm="1">
        <f t="array" ref="O755">_xlfn.IFS(J755="Dell Inspiron 15",66989,J755="Lenovo IdeaPad Slim 3i",34690,J755="Mi NoteBook Ultra",57999,J755="Samsung Galaxy Go",36990,J755="Acer Aspire 3",38980)</f>
        <v>#N/A</v>
      </c>
    </row>
    <row r="756" spans="7:15" x14ac:dyDescent="0.25">
      <c r="G756" t="str">
        <f>UPPER(Table1[[#This Row],[State]])</f>
        <v/>
      </c>
      <c r="L756" s="1"/>
      <c r="M756" s="1"/>
      <c r="O756" s="4" t="e" cm="1">
        <f t="array" ref="O756">_xlfn.IFS(J756="Dell Inspiron 15",66989,J756="Lenovo IdeaPad Slim 3i",34690,J756="Mi NoteBook Ultra",57999,J756="Samsung Galaxy Go",36990,J756="Acer Aspire 3",38980)</f>
        <v>#N/A</v>
      </c>
    </row>
    <row r="757" spans="7:15" x14ac:dyDescent="0.25">
      <c r="G757" t="str">
        <f>UPPER(Table1[[#This Row],[State]])</f>
        <v/>
      </c>
      <c r="L757" s="1"/>
      <c r="M757" s="1"/>
      <c r="O757" s="4" t="e" cm="1">
        <f t="array" ref="O757">_xlfn.IFS(J757="Dell Inspiron 15",66989,J757="Lenovo IdeaPad Slim 3i",34690,J757="Mi NoteBook Ultra",57999,J757="Samsung Galaxy Go",36990,J757="Acer Aspire 3",38980)</f>
        <v>#N/A</v>
      </c>
    </row>
    <row r="758" spans="7:15" x14ac:dyDescent="0.25">
      <c r="G758" t="str">
        <f>UPPER(Table1[[#This Row],[State]])</f>
        <v/>
      </c>
      <c r="L758" s="1"/>
      <c r="M758" s="1"/>
      <c r="O758" s="4" t="e" cm="1">
        <f t="array" ref="O758">_xlfn.IFS(J758="Dell Inspiron 15",66989,J758="Lenovo IdeaPad Slim 3i",34690,J758="Mi NoteBook Ultra",57999,J758="Samsung Galaxy Go",36990,J758="Acer Aspire 3",38980)</f>
        <v>#N/A</v>
      </c>
    </row>
    <row r="759" spans="7:15" x14ac:dyDescent="0.25">
      <c r="G759" t="str">
        <f>UPPER(Table1[[#This Row],[State]])</f>
        <v/>
      </c>
      <c r="L759" s="1"/>
      <c r="M759" s="1"/>
      <c r="O759" s="4" t="e" cm="1">
        <f t="array" ref="O759">_xlfn.IFS(J759="Dell Inspiron 15",66989,J759="Lenovo IdeaPad Slim 3i",34690,J759="Mi NoteBook Ultra",57999,J759="Samsung Galaxy Go",36990,J759="Acer Aspire 3",38980)</f>
        <v>#N/A</v>
      </c>
    </row>
    <row r="760" spans="7:15" x14ac:dyDescent="0.25">
      <c r="G760" t="str">
        <f>UPPER(Table1[[#This Row],[State]])</f>
        <v/>
      </c>
      <c r="L760" s="1"/>
      <c r="M760" s="1"/>
      <c r="O760" s="4" t="e" cm="1">
        <f t="array" ref="O760">_xlfn.IFS(J760="Dell Inspiron 15",66989,J760="Lenovo IdeaPad Slim 3i",34690,J760="Mi NoteBook Ultra",57999,J760="Samsung Galaxy Go",36990,J760="Acer Aspire 3",38980)</f>
        <v>#N/A</v>
      </c>
    </row>
    <row r="761" spans="7:15" x14ac:dyDescent="0.25">
      <c r="G761" t="str">
        <f>UPPER(Table1[[#This Row],[State]])</f>
        <v/>
      </c>
      <c r="L761" s="1"/>
      <c r="M761" s="1"/>
      <c r="O761" s="4" t="e" cm="1">
        <f t="array" ref="O761">_xlfn.IFS(J761="Dell Inspiron 15",66989,J761="Lenovo IdeaPad Slim 3i",34690,J761="Mi NoteBook Ultra",57999,J761="Samsung Galaxy Go",36990,J761="Acer Aspire 3",38980)</f>
        <v>#N/A</v>
      </c>
    </row>
    <row r="762" spans="7:15" x14ac:dyDescent="0.25">
      <c r="G762" t="str">
        <f>UPPER(Table1[[#This Row],[State]])</f>
        <v/>
      </c>
      <c r="L762" s="1"/>
      <c r="M762" s="1"/>
      <c r="O762" s="4" t="e" cm="1">
        <f t="array" ref="O762">_xlfn.IFS(J762="Dell Inspiron 15",66989,J762="Lenovo IdeaPad Slim 3i",34690,J762="Mi NoteBook Ultra",57999,J762="Samsung Galaxy Go",36990,J762="Acer Aspire 3",38980)</f>
        <v>#N/A</v>
      </c>
    </row>
    <row r="763" spans="7:15" x14ac:dyDescent="0.25">
      <c r="G763" t="str">
        <f>UPPER(Table1[[#This Row],[State]])</f>
        <v/>
      </c>
      <c r="L763" s="1"/>
      <c r="M763" s="1"/>
      <c r="O763" s="4" t="e" cm="1">
        <f t="array" ref="O763">_xlfn.IFS(J763="Dell Inspiron 15",66989,J763="Lenovo IdeaPad Slim 3i",34690,J763="Mi NoteBook Ultra",57999,J763="Samsung Galaxy Go",36990,J763="Acer Aspire 3",38980)</f>
        <v>#N/A</v>
      </c>
    </row>
    <row r="764" spans="7:15" x14ac:dyDescent="0.25">
      <c r="G764" t="str">
        <f>UPPER(Table1[[#This Row],[State]])</f>
        <v/>
      </c>
      <c r="L764" s="1"/>
      <c r="M764" s="1"/>
      <c r="O764" s="4" t="e" cm="1">
        <f t="array" ref="O764">_xlfn.IFS(J764="Dell Inspiron 15",66989,J764="Lenovo IdeaPad Slim 3i",34690,J764="Mi NoteBook Ultra",57999,J764="Samsung Galaxy Go",36990,J764="Acer Aspire 3",38980)</f>
        <v>#N/A</v>
      </c>
    </row>
    <row r="765" spans="7:15" x14ac:dyDescent="0.25">
      <c r="G765" t="str">
        <f>UPPER(Table1[[#This Row],[State]])</f>
        <v/>
      </c>
      <c r="L765" s="1"/>
      <c r="M765" s="1"/>
      <c r="O765" s="4" t="e" cm="1">
        <f t="array" ref="O765">_xlfn.IFS(J765="Dell Inspiron 15",66989,J765="Lenovo IdeaPad Slim 3i",34690,J765="Mi NoteBook Ultra",57999,J765="Samsung Galaxy Go",36990,J765="Acer Aspire 3",38980)</f>
        <v>#N/A</v>
      </c>
    </row>
    <row r="766" spans="7:15" x14ac:dyDescent="0.25">
      <c r="G766" t="str">
        <f>UPPER(Table1[[#This Row],[State]])</f>
        <v/>
      </c>
      <c r="L766" s="1"/>
      <c r="M766" s="1"/>
      <c r="O766" s="4" t="e" cm="1">
        <f t="array" ref="O766">_xlfn.IFS(J766="Dell Inspiron 15",66989,J766="Lenovo IdeaPad Slim 3i",34690,J766="Mi NoteBook Ultra",57999,J766="Samsung Galaxy Go",36990,J766="Acer Aspire 3",38980)</f>
        <v>#N/A</v>
      </c>
    </row>
    <row r="767" spans="7:15" x14ac:dyDescent="0.25">
      <c r="G767" t="str">
        <f>UPPER(Table1[[#This Row],[State]])</f>
        <v/>
      </c>
      <c r="L767" s="1"/>
      <c r="M767" s="1"/>
      <c r="O767" s="4" t="e" cm="1">
        <f t="array" ref="O767">_xlfn.IFS(J767="Dell Inspiron 15",66989,J767="Lenovo IdeaPad Slim 3i",34690,J767="Mi NoteBook Ultra",57999,J767="Samsung Galaxy Go",36990,J767="Acer Aspire 3",38980)</f>
        <v>#N/A</v>
      </c>
    </row>
    <row r="768" spans="7:15" x14ac:dyDescent="0.25">
      <c r="G768" t="str">
        <f>UPPER(Table1[[#This Row],[State]])</f>
        <v/>
      </c>
      <c r="L768" s="1"/>
      <c r="M768" s="1"/>
      <c r="O768" s="4" t="e" cm="1">
        <f t="array" ref="O768">_xlfn.IFS(J768="Dell Inspiron 15",66989,J768="Lenovo IdeaPad Slim 3i",34690,J768="Mi NoteBook Ultra",57999,J768="Samsung Galaxy Go",36990,J768="Acer Aspire 3",38980)</f>
        <v>#N/A</v>
      </c>
    </row>
    <row r="769" spans="7:15" x14ac:dyDescent="0.25">
      <c r="G769" t="str">
        <f>UPPER(Table1[[#This Row],[State]])</f>
        <v/>
      </c>
      <c r="L769" s="1"/>
      <c r="M769" s="1"/>
      <c r="O769" s="4" t="e" cm="1">
        <f t="array" ref="O769">_xlfn.IFS(J769="Dell Inspiron 15",66989,J769="Lenovo IdeaPad Slim 3i",34690,J769="Mi NoteBook Ultra",57999,J769="Samsung Galaxy Go",36990,J769="Acer Aspire 3",38980)</f>
        <v>#N/A</v>
      </c>
    </row>
    <row r="770" spans="7:15" x14ac:dyDescent="0.25">
      <c r="G770" t="str">
        <f>UPPER(Table1[[#This Row],[State]])</f>
        <v/>
      </c>
      <c r="L770" s="1"/>
      <c r="M770" s="1"/>
      <c r="O770" s="4" t="e" cm="1">
        <f t="array" ref="O770">_xlfn.IFS(J770="Dell Inspiron 15",66989,J770="Lenovo IdeaPad Slim 3i",34690,J770="Mi NoteBook Ultra",57999,J770="Samsung Galaxy Go",36990,J770="Acer Aspire 3",38980)</f>
        <v>#N/A</v>
      </c>
    </row>
    <row r="771" spans="7:15" x14ac:dyDescent="0.25">
      <c r="G771" t="str">
        <f>UPPER(Table1[[#This Row],[State]])</f>
        <v/>
      </c>
      <c r="L771" s="1"/>
      <c r="M771" s="1"/>
      <c r="O771" s="4" t="e" cm="1">
        <f t="array" ref="O771">_xlfn.IFS(J771="Dell Inspiron 15",66989,J771="Lenovo IdeaPad Slim 3i",34690,J771="Mi NoteBook Ultra",57999,J771="Samsung Galaxy Go",36990,J771="Acer Aspire 3",38980)</f>
        <v>#N/A</v>
      </c>
    </row>
    <row r="772" spans="7:15" x14ac:dyDescent="0.25">
      <c r="G772" t="str">
        <f>UPPER(Table1[[#This Row],[State]])</f>
        <v/>
      </c>
      <c r="L772" s="1"/>
      <c r="M772" s="1"/>
      <c r="O772" s="4" t="e" cm="1">
        <f t="array" ref="O772">_xlfn.IFS(J772="Dell Inspiron 15",66989,J772="Lenovo IdeaPad Slim 3i",34690,J772="Mi NoteBook Ultra",57999,J772="Samsung Galaxy Go",36990,J772="Acer Aspire 3",38980)</f>
        <v>#N/A</v>
      </c>
    </row>
    <row r="773" spans="7:15" x14ac:dyDescent="0.25">
      <c r="G773" t="str">
        <f>UPPER(Table1[[#This Row],[State]])</f>
        <v/>
      </c>
      <c r="L773" s="1"/>
      <c r="M773" s="1"/>
      <c r="O773" s="4" t="e" cm="1">
        <f t="array" ref="O773">_xlfn.IFS(J773="Dell Inspiron 15",66989,J773="Lenovo IdeaPad Slim 3i",34690,J773="Mi NoteBook Ultra",57999,J773="Samsung Galaxy Go",36990,J773="Acer Aspire 3",38980)</f>
        <v>#N/A</v>
      </c>
    </row>
    <row r="774" spans="7:15" x14ac:dyDescent="0.25">
      <c r="G774" t="str">
        <f>UPPER(Table1[[#This Row],[State]])</f>
        <v/>
      </c>
      <c r="L774" s="1"/>
      <c r="M774" s="1"/>
      <c r="O774" s="4" t="e" cm="1">
        <f t="array" ref="O774">_xlfn.IFS(J774="Dell Inspiron 15",66989,J774="Lenovo IdeaPad Slim 3i",34690,J774="Mi NoteBook Ultra",57999,J774="Samsung Galaxy Go",36990,J774="Acer Aspire 3",38980)</f>
        <v>#N/A</v>
      </c>
    </row>
    <row r="775" spans="7:15" x14ac:dyDescent="0.25">
      <c r="G775" t="str">
        <f>UPPER(Table1[[#This Row],[State]])</f>
        <v/>
      </c>
      <c r="L775" s="1"/>
      <c r="M775" s="1"/>
      <c r="O775" s="4" t="e" cm="1">
        <f t="array" ref="O775">_xlfn.IFS(J775="Dell Inspiron 15",66989,J775="Lenovo IdeaPad Slim 3i",34690,J775="Mi NoteBook Ultra",57999,J775="Samsung Galaxy Go",36990,J775="Acer Aspire 3",38980)</f>
        <v>#N/A</v>
      </c>
    </row>
    <row r="776" spans="7:15" x14ac:dyDescent="0.25">
      <c r="G776" t="str">
        <f>UPPER(Table1[[#This Row],[State]])</f>
        <v/>
      </c>
      <c r="L776" s="1"/>
      <c r="M776" s="1"/>
      <c r="O776" s="4" t="e" cm="1">
        <f t="array" ref="O776">_xlfn.IFS(J776="Dell Inspiron 15",66989,J776="Lenovo IdeaPad Slim 3i",34690,J776="Mi NoteBook Ultra",57999,J776="Samsung Galaxy Go",36990,J776="Acer Aspire 3",38980)</f>
        <v>#N/A</v>
      </c>
    </row>
    <row r="777" spans="7:15" x14ac:dyDescent="0.25">
      <c r="G777" t="str">
        <f>UPPER(Table1[[#This Row],[State]])</f>
        <v/>
      </c>
      <c r="L777" s="1"/>
      <c r="M777" s="1"/>
      <c r="O777" s="4" t="e" cm="1">
        <f t="array" ref="O777">_xlfn.IFS(J777="Dell Inspiron 15",66989,J777="Lenovo IdeaPad Slim 3i",34690,J777="Mi NoteBook Ultra",57999,J777="Samsung Galaxy Go",36990,J777="Acer Aspire 3",38980)</f>
        <v>#N/A</v>
      </c>
    </row>
    <row r="778" spans="7:15" x14ac:dyDescent="0.25">
      <c r="G778" t="str">
        <f>UPPER(Table1[[#This Row],[State]])</f>
        <v/>
      </c>
      <c r="L778" s="1"/>
      <c r="M778" s="1"/>
      <c r="O778" s="4" t="e" cm="1">
        <f t="array" ref="O778">_xlfn.IFS(J778="Dell Inspiron 15",66989,J778="Lenovo IdeaPad Slim 3i",34690,J778="Mi NoteBook Ultra",57999,J778="Samsung Galaxy Go",36990,J778="Acer Aspire 3",38980)</f>
        <v>#N/A</v>
      </c>
    </row>
    <row r="779" spans="7:15" x14ac:dyDescent="0.25">
      <c r="G779" t="str">
        <f>UPPER(Table1[[#This Row],[State]])</f>
        <v/>
      </c>
      <c r="L779" s="1"/>
      <c r="M779" s="1"/>
      <c r="O779" s="4" t="e" cm="1">
        <f t="array" ref="O779">_xlfn.IFS(J779="Dell Inspiron 15",66989,J779="Lenovo IdeaPad Slim 3i",34690,J779="Mi NoteBook Ultra",57999,J779="Samsung Galaxy Go",36990,J779="Acer Aspire 3",38980)</f>
        <v>#N/A</v>
      </c>
    </row>
    <row r="780" spans="7:15" x14ac:dyDescent="0.25">
      <c r="G780" t="str">
        <f>UPPER(Table1[[#This Row],[State]])</f>
        <v/>
      </c>
      <c r="L780" s="1"/>
      <c r="M780" s="1"/>
      <c r="O780" s="4" t="e" cm="1">
        <f t="array" ref="O780">_xlfn.IFS(J780="Dell Inspiron 15",66989,J780="Lenovo IdeaPad Slim 3i",34690,J780="Mi NoteBook Ultra",57999,J780="Samsung Galaxy Go",36990,J780="Acer Aspire 3",38980)</f>
        <v>#N/A</v>
      </c>
    </row>
    <row r="781" spans="7:15" x14ac:dyDescent="0.25">
      <c r="G781" t="str">
        <f>UPPER(Table1[[#This Row],[State]])</f>
        <v/>
      </c>
      <c r="L781" s="1"/>
      <c r="M781" s="1"/>
      <c r="O781" s="4" t="e" cm="1">
        <f t="array" ref="O781">_xlfn.IFS(J781="Dell Inspiron 15",66989,J781="Lenovo IdeaPad Slim 3i",34690,J781="Mi NoteBook Ultra",57999,J781="Samsung Galaxy Go",36990,J781="Acer Aspire 3",38980)</f>
        <v>#N/A</v>
      </c>
    </row>
    <row r="782" spans="7:15" x14ac:dyDescent="0.25">
      <c r="G782" t="str">
        <f>UPPER(Table1[[#This Row],[State]])</f>
        <v/>
      </c>
      <c r="L782" s="1"/>
      <c r="M782" s="1"/>
      <c r="O782" s="4" t="e" cm="1">
        <f t="array" ref="O782">_xlfn.IFS(J782="Dell Inspiron 15",66989,J782="Lenovo IdeaPad Slim 3i",34690,J782="Mi NoteBook Ultra",57999,J782="Samsung Galaxy Go",36990,J782="Acer Aspire 3",38980)</f>
        <v>#N/A</v>
      </c>
    </row>
    <row r="783" spans="7:15" x14ac:dyDescent="0.25">
      <c r="G783" t="str">
        <f>UPPER(Table1[[#This Row],[State]])</f>
        <v/>
      </c>
      <c r="L783" s="1"/>
      <c r="M783" s="1"/>
      <c r="O783" s="4" t="e" cm="1">
        <f t="array" ref="O783">_xlfn.IFS(J783="Dell Inspiron 15",66989,J783="Lenovo IdeaPad Slim 3i",34690,J783="Mi NoteBook Ultra",57999,J783="Samsung Galaxy Go",36990,J783="Acer Aspire 3",38980)</f>
        <v>#N/A</v>
      </c>
    </row>
    <row r="784" spans="7:15" x14ac:dyDescent="0.25">
      <c r="G784" t="str">
        <f>UPPER(Table1[[#This Row],[State]])</f>
        <v/>
      </c>
      <c r="L784" s="1"/>
      <c r="M784" s="1"/>
      <c r="O784" s="4" t="e" cm="1">
        <f t="array" ref="O784">_xlfn.IFS(J784="Dell Inspiron 15",66989,J784="Lenovo IdeaPad Slim 3i",34690,J784="Mi NoteBook Ultra",57999,J784="Samsung Galaxy Go",36990,J784="Acer Aspire 3",38980)</f>
        <v>#N/A</v>
      </c>
    </row>
    <row r="785" spans="7:15" x14ac:dyDescent="0.25">
      <c r="G785" t="str">
        <f>UPPER(Table1[[#This Row],[State]])</f>
        <v/>
      </c>
      <c r="L785" s="1"/>
      <c r="M785" s="1"/>
      <c r="O785" s="4" t="e" cm="1">
        <f t="array" ref="O785">_xlfn.IFS(J785="Dell Inspiron 15",66989,J785="Lenovo IdeaPad Slim 3i",34690,J785="Mi NoteBook Ultra",57999,J785="Samsung Galaxy Go",36990,J785="Acer Aspire 3",38980)</f>
        <v>#N/A</v>
      </c>
    </row>
    <row r="786" spans="7:15" x14ac:dyDescent="0.25">
      <c r="G786" t="str">
        <f>UPPER(Table1[[#This Row],[State]])</f>
        <v/>
      </c>
      <c r="L786" s="1"/>
      <c r="M786" s="1"/>
      <c r="O786" s="4" t="e" cm="1">
        <f t="array" ref="O786">_xlfn.IFS(J786="Dell Inspiron 15",66989,J786="Lenovo IdeaPad Slim 3i",34690,J786="Mi NoteBook Ultra",57999,J786="Samsung Galaxy Go",36990,J786="Acer Aspire 3",38980)</f>
        <v>#N/A</v>
      </c>
    </row>
    <row r="787" spans="7:15" x14ac:dyDescent="0.25">
      <c r="G787" t="str">
        <f>UPPER(Table1[[#This Row],[State]])</f>
        <v/>
      </c>
      <c r="L787" s="1"/>
      <c r="M787" s="1"/>
      <c r="O787" s="4" t="e" cm="1">
        <f t="array" ref="O787">_xlfn.IFS(J787="Dell Inspiron 15",66989,J787="Lenovo IdeaPad Slim 3i",34690,J787="Mi NoteBook Ultra",57999,J787="Samsung Galaxy Go",36990,J787="Acer Aspire 3",38980)</f>
        <v>#N/A</v>
      </c>
    </row>
    <row r="788" spans="7:15" x14ac:dyDescent="0.25">
      <c r="G788" t="str">
        <f>UPPER(Table1[[#This Row],[State]])</f>
        <v/>
      </c>
      <c r="L788" s="1"/>
      <c r="M788" s="1"/>
      <c r="O788" s="4" t="e" cm="1">
        <f t="array" ref="O788">_xlfn.IFS(J788="Dell Inspiron 15",66989,J788="Lenovo IdeaPad Slim 3i",34690,J788="Mi NoteBook Ultra",57999,J788="Samsung Galaxy Go",36990,J788="Acer Aspire 3",38980)</f>
        <v>#N/A</v>
      </c>
    </row>
    <row r="789" spans="7:15" x14ac:dyDescent="0.25">
      <c r="G789" t="str">
        <f>UPPER(Table1[[#This Row],[State]])</f>
        <v/>
      </c>
      <c r="L789" s="1"/>
      <c r="M789" s="1"/>
      <c r="O789" s="4" t="e" cm="1">
        <f t="array" ref="O789">_xlfn.IFS(J789="Dell Inspiron 15",66989,J789="Lenovo IdeaPad Slim 3i",34690,J789="Mi NoteBook Ultra",57999,J789="Samsung Galaxy Go",36990,J789="Acer Aspire 3",38980)</f>
        <v>#N/A</v>
      </c>
    </row>
    <row r="790" spans="7:15" x14ac:dyDescent="0.25">
      <c r="G790" t="str">
        <f>UPPER(Table1[[#This Row],[State]])</f>
        <v/>
      </c>
      <c r="L790" s="1"/>
      <c r="M790" s="1"/>
      <c r="O790" s="4" t="e" cm="1">
        <f t="array" ref="O790">_xlfn.IFS(J790="Dell Inspiron 15",66989,J790="Lenovo IdeaPad Slim 3i",34690,J790="Mi NoteBook Ultra",57999,J790="Samsung Galaxy Go",36990,J790="Acer Aspire 3",38980)</f>
        <v>#N/A</v>
      </c>
    </row>
    <row r="791" spans="7:15" x14ac:dyDescent="0.25">
      <c r="G791" t="str">
        <f>UPPER(Table1[[#This Row],[State]])</f>
        <v/>
      </c>
      <c r="L791" s="1"/>
      <c r="M791" s="1"/>
      <c r="O791" s="4" t="e" cm="1">
        <f t="array" ref="O791">_xlfn.IFS(J791="Dell Inspiron 15",66989,J791="Lenovo IdeaPad Slim 3i",34690,J791="Mi NoteBook Ultra",57999,J791="Samsung Galaxy Go",36990,J791="Acer Aspire 3",38980)</f>
        <v>#N/A</v>
      </c>
    </row>
    <row r="792" spans="7:15" x14ac:dyDescent="0.25">
      <c r="G792" t="str">
        <f>UPPER(Table1[[#This Row],[State]])</f>
        <v/>
      </c>
      <c r="L792" s="1"/>
      <c r="M792" s="1"/>
      <c r="O792" s="4" t="e" cm="1">
        <f t="array" ref="O792">_xlfn.IFS(J792="Dell Inspiron 15",66989,J792="Lenovo IdeaPad Slim 3i",34690,J792="Mi NoteBook Ultra",57999,J792="Samsung Galaxy Go",36990,J792="Acer Aspire 3",38980)</f>
        <v>#N/A</v>
      </c>
    </row>
    <row r="793" spans="7:15" x14ac:dyDescent="0.25">
      <c r="G793" t="str">
        <f>UPPER(Table1[[#This Row],[State]])</f>
        <v/>
      </c>
      <c r="L793" s="1"/>
      <c r="M793" s="1"/>
      <c r="O793" s="4" t="e" cm="1">
        <f t="array" ref="O793">_xlfn.IFS(J793="Dell Inspiron 15",66989,J793="Lenovo IdeaPad Slim 3i",34690,J793="Mi NoteBook Ultra",57999,J793="Samsung Galaxy Go",36990,J793="Acer Aspire 3",38980)</f>
        <v>#N/A</v>
      </c>
    </row>
    <row r="794" spans="7:15" x14ac:dyDescent="0.25">
      <c r="G794" t="str">
        <f>UPPER(Table1[[#This Row],[State]])</f>
        <v/>
      </c>
      <c r="L794" s="1"/>
      <c r="M794" s="1"/>
      <c r="O794" s="4" t="e" cm="1">
        <f t="array" ref="O794">_xlfn.IFS(J794="Dell Inspiron 15",66989,J794="Lenovo IdeaPad Slim 3i",34690,J794="Mi NoteBook Ultra",57999,J794="Samsung Galaxy Go",36990,J794="Acer Aspire 3",38980)</f>
        <v>#N/A</v>
      </c>
    </row>
    <row r="795" spans="7:15" x14ac:dyDescent="0.25">
      <c r="G795" t="str">
        <f>UPPER(Table1[[#This Row],[State]])</f>
        <v/>
      </c>
      <c r="L795" s="1"/>
      <c r="M795" s="1"/>
      <c r="O795" s="4" t="e" cm="1">
        <f t="array" ref="O795">_xlfn.IFS(J795="Dell Inspiron 15",66989,J795="Lenovo IdeaPad Slim 3i",34690,J795="Mi NoteBook Ultra",57999,J795="Samsung Galaxy Go",36990,J795="Acer Aspire 3",38980)</f>
        <v>#N/A</v>
      </c>
    </row>
    <row r="796" spans="7:15" x14ac:dyDescent="0.25">
      <c r="G796" t="str">
        <f>UPPER(Table1[[#This Row],[State]])</f>
        <v/>
      </c>
      <c r="L796" s="1"/>
      <c r="M796" s="1"/>
      <c r="O796" s="4" t="e" cm="1">
        <f t="array" ref="O796">_xlfn.IFS(J796="Dell Inspiron 15",66989,J796="Lenovo IdeaPad Slim 3i",34690,J796="Mi NoteBook Ultra",57999,J796="Samsung Galaxy Go",36990,J796="Acer Aspire 3",38980)</f>
        <v>#N/A</v>
      </c>
    </row>
    <row r="797" spans="7:15" x14ac:dyDescent="0.25">
      <c r="G797" t="str">
        <f>UPPER(Table1[[#This Row],[State]])</f>
        <v/>
      </c>
      <c r="L797" s="1"/>
      <c r="M797" s="1"/>
      <c r="O797" s="4" t="e" cm="1">
        <f t="array" ref="O797">_xlfn.IFS(J797="Dell Inspiron 15",66989,J797="Lenovo IdeaPad Slim 3i",34690,J797="Mi NoteBook Ultra",57999,J797="Samsung Galaxy Go",36990,J797="Acer Aspire 3",38980)</f>
        <v>#N/A</v>
      </c>
    </row>
    <row r="798" spans="7:15" x14ac:dyDescent="0.25">
      <c r="G798" t="str">
        <f>UPPER(Table1[[#This Row],[State]])</f>
        <v/>
      </c>
      <c r="L798" s="1"/>
      <c r="M798" s="1"/>
      <c r="O798" s="4" t="e" cm="1">
        <f t="array" ref="O798">_xlfn.IFS(J798="Dell Inspiron 15",66989,J798="Lenovo IdeaPad Slim 3i",34690,J798="Mi NoteBook Ultra",57999,J798="Samsung Galaxy Go",36990,J798="Acer Aspire 3",38980)</f>
        <v>#N/A</v>
      </c>
    </row>
    <row r="799" spans="7:15" x14ac:dyDescent="0.25">
      <c r="G799" t="str">
        <f>UPPER(Table1[[#This Row],[State]])</f>
        <v/>
      </c>
      <c r="L799" s="1"/>
      <c r="M799" s="1"/>
      <c r="O799" s="4" t="e" cm="1">
        <f t="array" ref="O799">_xlfn.IFS(J799="Dell Inspiron 15",66989,J799="Lenovo IdeaPad Slim 3i",34690,J799="Mi NoteBook Ultra",57999,J799="Samsung Galaxy Go",36990,J799="Acer Aspire 3",38980)</f>
        <v>#N/A</v>
      </c>
    </row>
    <row r="800" spans="7:15" x14ac:dyDescent="0.25">
      <c r="G800" t="str">
        <f>UPPER(Table1[[#This Row],[State]])</f>
        <v/>
      </c>
      <c r="L800" s="1"/>
      <c r="M800" s="1"/>
      <c r="O800" s="4" t="e" cm="1">
        <f t="array" ref="O800">_xlfn.IFS(J800="Dell Inspiron 15",66989,J800="Lenovo IdeaPad Slim 3i",34690,J800="Mi NoteBook Ultra",57999,J800="Samsung Galaxy Go",36990,J800="Acer Aspire 3",38980)</f>
        <v>#N/A</v>
      </c>
    </row>
    <row r="801" spans="7:15" x14ac:dyDescent="0.25">
      <c r="G801" t="str">
        <f>UPPER(Table1[[#This Row],[State]])</f>
        <v/>
      </c>
      <c r="L801" s="1"/>
      <c r="M801" s="1"/>
      <c r="O801" s="4" t="e" cm="1">
        <f t="array" ref="O801">_xlfn.IFS(J801="Dell Inspiron 15",66989,J801="Lenovo IdeaPad Slim 3i",34690,J801="Mi NoteBook Ultra",57999,J801="Samsung Galaxy Go",36990,J801="Acer Aspire 3",38980)</f>
        <v>#N/A</v>
      </c>
    </row>
    <row r="802" spans="7:15" x14ac:dyDescent="0.25">
      <c r="G802" t="str">
        <f>UPPER(Table1[[#This Row],[State]])</f>
        <v/>
      </c>
      <c r="L802" s="1"/>
      <c r="M802" s="1"/>
      <c r="O802" s="4" t="e" cm="1">
        <f t="array" ref="O802">_xlfn.IFS(J802="Dell Inspiron 15",66989,J802="Lenovo IdeaPad Slim 3i",34690,J802="Mi NoteBook Ultra",57999,J802="Samsung Galaxy Go",36990,J802="Acer Aspire 3",38980)</f>
        <v>#N/A</v>
      </c>
    </row>
    <row r="803" spans="7:15" x14ac:dyDescent="0.25">
      <c r="G803" t="str">
        <f>UPPER(Table1[[#This Row],[State]])</f>
        <v/>
      </c>
      <c r="L803" s="1"/>
      <c r="M803" s="1"/>
      <c r="O803" s="4" t="e" cm="1">
        <f t="array" ref="O803">_xlfn.IFS(J803="Dell Inspiron 15",66989,J803="Lenovo IdeaPad Slim 3i",34690,J803="Mi NoteBook Ultra",57999,J803="Samsung Galaxy Go",36990,J803="Acer Aspire 3",38980)</f>
        <v>#N/A</v>
      </c>
    </row>
    <row r="804" spans="7:15" x14ac:dyDescent="0.25">
      <c r="G804" t="str">
        <f>UPPER(Table1[[#This Row],[State]])</f>
        <v/>
      </c>
      <c r="L804" s="1"/>
      <c r="M804" s="1"/>
      <c r="O804" s="4" t="e" cm="1">
        <f t="array" ref="O804">_xlfn.IFS(J804="Dell Inspiron 15",66989,J804="Lenovo IdeaPad Slim 3i",34690,J804="Mi NoteBook Ultra",57999,J804="Samsung Galaxy Go",36990,J804="Acer Aspire 3",38980)</f>
        <v>#N/A</v>
      </c>
    </row>
    <row r="805" spans="7:15" x14ac:dyDescent="0.25">
      <c r="G805" t="str">
        <f>UPPER(Table1[[#This Row],[State]])</f>
        <v/>
      </c>
      <c r="L805" s="1"/>
      <c r="M805" s="1"/>
      <c r="O805" s="4" t="e" cm="1">
        <f t="array" ref="O805">_xlfn.IFS(J805="Dell Inspiron 15",66989,J805="Lenovo IdeaPad Slim 3i",34690,J805="Mi NoteBook Ultra",57999,J805="Samsung Galaxy Go",36990,J805="Acer Aspire 3",38980)</f>
        <v>#N/A</v>
      </c>
    </row>
    <row r="806" spans="7:15" x14ac:dyDescent="0.25">
      <c r="G806" t="str">
        <f>UPPER(Table1[[#This Row],[State]])</f>
        <v/>
      </c>
      <c r="L806" s="1"/>
      <c r="M806" s="1"/>
      <c r="O806" s="4" t="e" cm="1">
        <f t="array" ref="O806">_xlfn.IFS(J806="Dell Inspiron 15",66989,J806="Lenovo IdeaPad Slim 3i",34690,J806="Mi NoteBook Ultra",57999,J806="Samsung Galaxy Go",36990,J806="Acer Aspire 3",38980)</f>
        <v>#N/A</v>
      </c>
    </row>
    <row r="807" spans="7:15" x14ac:dyDescent="0.25">
      <c r="G807" t="str">
        <f>UPPER(Table1[[#This Row],[State]])</f>
        <v/>
      </c>
      <c r="L807" s="1"/>
      <c r="M807" s="1"/>
      <c r="O807" s="4" t="e" cm="1">
        <f t="array" ref="O807">_xlfn.IFS(J807="Dell Inspiron 15",66989,J807="Lenovo IdeaPad Slim 3i",34690,J807="Mi NoteBook Ultra",57999,J807="Samsung Galaxy Go",36990,J807="Acer Aspire 3",38980)</f>
        <v>#N/A</v>
      </c>
    </row>
    <row r="808" spans="7:15" x14ac:dyDescent="0.25">
      <c r="G808" t="str">
        <f>UPPER(Table1[[#This Row],[State]])</f>
        <v/>
      </c>
      <c r="L808" s="1"/>
      <c r="M808" s="1"/>
      <c r="O808" s="4" t="e" cm="1">
        <f t="array" ref="O808">_xlfn.IFS(J808="Dell Inspiron 15",66989,J808="Lenovo IdeaPad Slim 3i",34690,J808="Mi NoteBook Ultra",57999,J808="Samsung Galaxy Go",36990,J808="Acer Aspire 3",38980)</f>
        <v>#N/A</v>
      </c>
    </row>
    <row r="809" spans="7:15" x14ac:dyDescent="0.25">
      <c r="G809" t="str">
        <f>UPPER(Table1[[#This Row],[State]])</f>
        <v/>
      </c>
      <c r="L809" s="1"/>
      <c r="M809" s="1"/>
      <c r="O809" s="4" t="e" cm="1">
        <f t="array" ref="O809">_xlfn.IFS(J809="Dell Inspiron 15",66989,J809="Lenovo IdeaPad Slim 3i",34690,J809="Mi NoteBook Ultra",57999,J809="Samsung Galaxy Go",36990,J809="Acer Aspire 3",38980)</f>
        <v>#N/A</v>
      </c>
    </row>
    <row r="810" spans="7:15" x14ac:dyDescent="0.25">
      <c r="G810" t="str">
        <f>UPPER(Table1[[#This Row],[State]])</f>
        <v/>
      </c>
      <c r="L810" s="1"/>
      <c r="M810" s="1"/>
      <c r="O810" s="4" t="e" cm="1">
        <f t="array" ref="O810">_xlfn.IFS(J810="Dell Inspiron 15",66989,J810="Lenovo IdeaPad Slim 3i",34690,J810="Mi NoteBook Ultra",57999,J810="Samsung Galaxy Go",36990,J810="Acer Aspire 3",38980)</f>
        <v>#N/A</v>
      </c>
    </row>
    <row r="811" spans="7:15" x14ac:dyDescent="0.25">
      <c r="G811" t="str">
        <f>UPPER(Table1[[#This Row],[State]])</f>
        <v/>
      </c>
      <c r="L811" s="1"/>
      <c r="M811" s="1"/>
      <c r="O811" s="4" t="e" cm="1">
        <f t="array" ref="O811">_xlfn.IFS(J811="Dell Inspiron 15",66989,J811="Lenovo IdeaPad Slim 3i",34690,J811="Mi NoteBook Ultra",57999,J811="Samsung Galaxy Go",36990,J811="Acer Aspire 3",38980)</f>
        <v>#N/A</v>
      </c>
    </row>
    <row r="812" spans="7:15" x14ac:dyDescent="0.25">
      <c r="G812" t="str">
        <f>UPPER(Table1[[#This Row],[State]])</f>
        <v/>
      </c>
      <c r="L812" s="1"/>
      <c r="M812" s="1"/>
      <c r="O812" s="4" t="e" cm="1">
        <f t="array" ref="O812">_xlfn.IFS(J812="Dell Inspiron 15",66989,J812="Lenovo IdeaPad Slim 3i",34690,J812="Mi NoteBook Ultra",57999,J812="Samsung Galaxy Go",36990,J812="Acer Aspire 3",38980)</f>
        <v>#N/A</v>
      </c>
    </row>
    <row r="813" spans="7:15" x14ac:dyDescent="0.25">
      <c r="G813" t="str">
        <f>UPPER(Table1[[#This Row],[State]])</f>
        <v/>
      </c>
      <c r="L813" s="1"/>
      <c r="M813" s="1"/>
      <c r="O813" s="4" t="e" cm="1">
        <f t="array" ref="O813">_xlfn.IFS(J813="Dell Inspiron 15",66989,J813="Lenovo IdeaPad Slim 3i",34690,J813="Mi NoteBook Ultra",57999,J813="Samsung Galaxy Go",36990,J813="Acer Aspire 3",38980)</f>
        <v>#N/A</v>
      </c>
    </row>
    <row r="814" spans="7:15" x14ac:dyDescent="0.25">
      <c r="G814" t="str">
        <f>UPPER(Table1[[#This Row],[State]])</f>
        <v/>
      </c>
      <c r="L814" s="1"/>
      <c r="M814" s="1"/>
      <c r="O814" s="4" t="e" cm="1">
        <f t="array" ref="O814">_xlfn.IFS(J814="Dell Inspiron 15",66989,J814="Lenovo IdeaPad Slim 3i",34690,J814="Mi NoteBook Ultra",57999,J814="Samsung Galaxy Go",36990,J814="Acer Aspire 3",38980)</f>
        <v>#N/A</v>
      </c>
    </row>
    <row r="815" spans="7:15" x14ac:dyDescent="0.25">
      <c r="G815" t="str">
        <f>UPPER(Table1[[#This Row],[State]])</f>
        <v/>
      </c>
      <c r="L815" s="1"/>
      <c r="M815" s="1"/>
      <c r="O815" s="4" t="e" cm="1">
        <f t="array" ref="O815">_xlfn.IFS(J815="Dell Inspiron 15",66989,J815="Lenovo IdeaPad Slim 3i",34690,J815="Mi NoteBook Ultra",57999,J815="Samsung Galaxy Go",36990,J815="Acer Aspire 3",38980)</f>
        <v>#N/A</v>
      </c>
    </row>
    <row r="816" spans="7:15" x14ac:dyDescent="0.25">
      <c r="G816" t="str">
        <f>UPPER(Table1[[#This Row],[State]])</f>
        <v/>
      </c>
      <c r="L816" s="1"/>
      <c r="M816" s="1"/>
      <c r="O816" s="4" t="e" cm="1">
        <f t="array" ref="O816">_xlfn.IFS(J816="Dell Inspiron 15",66989,J816="Lenovo IdeaPad Slim 3i",34690,J816="Mi NoteBook Ultra",57999,J816="Samsung Galaxy Go",36990,J816="Acer Aspire 3",38980)</f>
        <v>#N/A</v>
      </c>
    </row>
    <row r="817" spans="7:15" x14ac:dyDescent="0.25">
      <c r="G817" t="str">
        <f>UPPER(Table1[[#This Row],[State]])</f>
        <v/>
      </c>
      <c r="L817" s="1"/>
      <c r="M817" s="1"/>
      <c r="O817" s="4" t="e" cm="1">
        <f t="array" ref="O817">_xlfn.IFS(J817="Dell Inspiron 15",66989,J817="Lenovo IdeaPad Slim 3i",34690,J817="Mi NoteBook Ultra",57999,J817="Samsung Galaxy Go",36990,J817="Acer Aspire 3",38980)</f>
        <v>#N/A</v>
      </c>
    </row>
    <row r="818" spans="7:15" x14ac:dyDescent="0.25">
      <c r="G818" t="str">
        <f>UPPER(Table1[[#This Row],[State]])</f>
        <v/>
      </c>
      <c r="L818" s="1"/>
      <c r="M818" s="1"/>
      <c r="O818" s="4" t="e" cm="1">
        <f t="array" ref="O818">_xlfn.IFS(J818="Dell Inspiron 15",66989,J818="Lenovo IdeaPad Slim 3i",34690,J818="Mi NoteBook Ultra",57999,J818="Samsung Galaxy Go",36990,J818="Acer Aspire 3",38980)</f>
        <v>#N/A</v>
      </c>
    </row>
    <row r="819" spans="7:15" x14ac:dyDescent="0.25">
      <c r="G819" t="str">
        <f>UPPER(Table1[[#This Row],[State]])</f>
        <v/>
      </c>
      <c r="L819" s="1"/>
      <c r="M819" s="1"/>
      <c r="O819" s="4" t="e" cm="1">
        <f t="array" ref="O819">_xlfn.IFS(J819="Dell Inspiron 15",66989,J819="Lenovo IdeaPad Slim 3i",34690,J819="Mi NoteBook Ultra",57999,J819="Samsung Galaxy Go",36990,J819="Acer Aspire 3",38980)</f>
        <v>#N/A</v>
      </c>
    </row>
    <row r="820" spans="7:15" x14ac:dyDescent="0.25">
      <c r="G820" t="str">
        <f>UPPER(Table1[[#This Row],[State]])</f>
        <v/>
      </c>
      <c r="L820" s="1"/>
      <c r="M820" s="1"/>
      <c r="O820" s="4" t="e" cm="1">
        <f t="array" ref="O820">_xlfn.IFS(J820="Dell Inspiron 15",66989,J820="Lenovo IdeaPad Slim 3i",34690,J820="Mi NoteBook Ultra",57999,J820="Samsung Galaxy Go",36990,J820="Acer Aspire 3",38980)</f>
        <v>#N/A</v>
      </c>
    </row>
    <row r="821" spans="7:15" x14ac:dyDescent="0.25">
      <c r="G821" t="str">
        <f>UPPER(Table1[[#This Row],[State]])</f>
        <v/>
      </c>
      <c r="L821" s="1"/>
      <c r="M821" s="1"/>
      <c r="O821" s="4" t="e" cm="1">
        <f t="array" ref="O821">_xlfn.IFS(J821="Dell Inspiron 15",66989,J821="Lenovo IdeaPad Slim 3i",34690,J821="Mi NoteBook Ultra",57999,J821="Samsung Galaxy Go",36990,J821="Acer Aspire 3",38980)</f>
        <v>#N/A</v>
      </c>
    </row>
    <row r="822" spans="7:15" x14ac:dyDescent="0.25">
      <c r="G822" t="str">
        <f>UPPER(Table1[[#This Row],[State]])</f>
        <v/>
      </c>
      <c r="L822" s="1"/>
      <c r="M822" s="1"/>
      <c r="O822" s="4" t="e" cm="1">
        <f t="array" ref="O822">_xlfn.IFS(J822="Dell Inspiron 15",66989,J822="Lenovo IdeaPad Slim 3i",34690,J822="Mi NoteBook Ultra",57999,J822="Samsung Galaxy Go",36990,J822="Acer Aspire 3",38980)</f>
        <v>#N/A</v>
      </c>
    </row>
    <row r="823" spans="7:15" x14ac:dyDescent="0.25">
      <c r="G823" t="str">
        <f>UPPER(Table1[[#This Row],[State]])</f>
        <v/>
      </c>
      <c r="L823" s="1"/>
      <c r="M823" s="1"/>
      <c r="O823" s="4" t="e" cm="1">
        <f t="array" ref="O823">_xlfn.IFS(J823="Dell Inspiron 15",66989,J823="Lenovo IdeaPad Slim 3i",34690,J823="Mi NoteBook Ultra",57999,J823="Samsung Galaxy Go",36990,J823="Acer Aspire 3",38980)</f>
        <v>#N/A</v>
      </c>
    </row>
    <row r="824" spans="7:15" x14ac:dyDescent="0.25">
      <c r="G824" t="str">
        <f>UPPER(Table1[[#This Row],[State]])</f>
        <v/>
      </c>
      <c r="L824" s="1"/>
      <c r="M824" s="1"/>
      <c r="O824" s="4" t="e" cm="1">
        <f t="array" ref="O824">_xlfn.IFS(J824="Dell Inspiron 15",66989,J824="Lenovo IdeaPad Slim 3i",34690,J824="Mi NoteBook Ultra",57999,J824="Samsung Galaxy Go",36990,J824="Acer Aspire 3",38980)</f>
        <v>#N/A</v>
      </c>
    </row>
    <row r="825" spans="7:15" x14ac:dyDescent="0.25">
      <c r="G825" t="str">
        <f>UPPER(Table1[[#This Row],[State]])</f>
        <v/>
      </c>
      <c r="L825" s="1"/>
      <c r="M825" s="1"/>
      <c r="O825" s="4" t="e" cm="1">
        <f t="array" ref="O825">_xlfn.IFS(J825="Dell Inspiron 15",66989,J825="Lenovo IdeaPad Slim 3i",34690,J825="Mi NoteBook Ultra",57999,J825="Samsung Galaxy Go",36990,J825="Acer Aspire 3",38980)</f>
        <v>#N/A</v>
      </c>
    </row>
    <row r="826" spans="7:15" x14ac:dyDescent="0.25">
      <c r="G826" t="str">
        <f>UPPER(Table1[[#This Row],[State]])</f>
        <v/>
      </c>
      <c r="L826" s="1"/>
      <c r="M826" s="1"/>
      <c r="O826" s="4" t="e" cm="1">
        <f t="array" ref="O826">_xlfn.IFS(J826="Dell Inspiron 15",66989,J826="Lenovo IdeaPad Slim 3i",34690,J826="Mi NoteBook Ultra",57999,J826="Samsung Galaxy Go",36990,J826="Acer Aspire 3",38980)</f>
        <v>#N/A</v>
      </c>
    </row>
    <row r="827" spans="7:15" x14ac:dyDescent="0.25">
      <c r="G827" t="str">
        <f>UPPER(Table1[[#This Row],[State]])</f>
        <v/>
      </c>
      <c r="L827" s="1"/>
      <c r="M827" s="1"/>
      <c r="O827" s="4" t="e" cm="1">
        <f t="array" ref="O827">_xlfn.IFS(J827="Dell Inspiron 15",66989,J827="Lenovo IdeaPad Slim 3i",34690,J827="Mi NoteBook Ultra",57999,J827="Samsung Galaxy Go",36990,J827="Acer Aspire 3",38980)</f>
        <v>#N/A</v>
      </c>
    </row>
    <row r="828" spans="7:15" x14ac:dyDescent="0.25">
      <c r="G828" t="str">
        <f>UPPER(Table1[[#This Row],[State]])</f>
        <v/>
      </c>
      <c r="L828" s="1"/>
      <c r="M828" s="1"/>
      <c r="O828" s="4" t="e" cm="1">
        <f t="array" ref="O828">_xlfn.IFS(J828="Dell Inspiron 15",66989,J828="Lenovo IdeaPad Slim 3i",34690,J828="Mi NoteBook Ultra",57999,J828="Samsung Galaxy Go",36990,J828="Acer Aspire 3",38980)</f>
        <v>#N/A</v>
      </c>
    </row>
    <row r="829" spans="7:15" x14ac:dyDescent="0.25">
      <c r="G829" t="str">
        <f>UPPER(Table1[[#This Row],[State]])</f>
        <v/>
      </c>
      <c r="L829" s="1"/>
      <c r="M829" s="1"/>
      <c r="O829" s="4" t="e" cm="1">
        <f t="array" ref="O829">_xlfn.IFS(J829="Dell Inspiron 15",66989,J829="Lenovo IdeaPad Slim 3i",34690,J829="Mi NoteBook Ultra",57999,J829="Samsung Galaxy Go",36990,J829="Acer Aspire 3",38980)</f>
        <v>#N/A</v>
      </c>
    </row>
    <row r="830" spans="7:15" x14ac:dyDescent="0.25">
      <c r="G830" t="str">
        <f>UPPER(Table1[[#This Row],[State]])</f>
        <v/>
      </c>
      <c r="L830" s="1"/>
      <c r="M830" s="1"/>
      <c r="O830" s="4" t="e" cm="1">
        <f t="array" ref="O830">_xlfn.IFS(J830="Dell Inspiron 15",66989,J830="Lenovo IdeaPad Slim 3i",34690,J830="Mi NoteBook Ultra",57999,J830="Samsung Galaxy Go",36990,J830="Acer Aspire 3",38980)</f>
        <v>#N/A</v>
      </c>
    </row>
    <row r="831" spans="7:15" x14ac:dyDescent="0.25">
      <c r="G831" t="str">
        <f>UPPER(Table1[[#This Row],[State]])</f>
        <v/>
      </c>
      <c r="L831" s="1"/>
      <c r="M831" s="1"/>
      <c r="O831" s="4" t="e" cm="1">
        <f t="array" ref="O831">_xlfn.IFS(J831="Dell Inspiron 15",66989,J831="Lenovo IdeaPad Slim 3i",34690,J831="Mi NoteBook Ultra",57999,J831="Samsung Galaxy Go",36990,J831="Acer Aspire 3",38980)</f>
        <v>#N/A</v>
      </c>
    </row>
    <row r="832" spans="7:15" x14ac:dyDescent="0.25">
      <c r="G832" t="str">
        <f>UPPER(Table1[[#This Row],[State]])</f>
        <v/>
      </c>
      <c r="L832" s="1"/>
      <c r="M832" s="1"/>
      <c r="O832" s="4" t="e" cm="1">
        <f t="array" ref="O832">_xlfn.IFS(J832="Dell Inspiron 15",66989,J832="Lenovo IdeaPad Slim 3i",34690,J832="Mi NoteBook Ultra",57999,J832="Samsung Galaxy Go",36990,J832="Acer Aspire 3",38980)</f>
        <v>#N/A</v>
      </c>
    </row>
    <row r="833" spans="7:15" x14ac:dyDescent="0.25">
      <c r="G833" t="str">
        <f>UPPER(Table1[[#This Row],[State]])</f>
        <v/>
      </c>
      <c r="L833" s="1"/>
      <c r="M833" s="1"/>
      <c r="O833" s="4" t="e" cm="1">
        <f t="array" ref="O833">_xlfn.IFS(J833="Dell Inspiron 15",66989,J833="Lenovo IdeaPad Slim 3i",34690,J833="Mi NoteBook Ultra",57999,J833="Samsung Galaxy Go",36990,J833="Acer Aspire 3",38980)</f>
        <v>#N/A</v>
      </c>
    </row>
    <row r="834" spans="7:15" x14ac:dyDescent="0.25">
      <c r="G834" t="str">
        <f>UPPER(Table1[[#This Row],[State]])</f>
        <v/>
      </c>
      <c r="L834" s="1"/>
      <c r="M834" s="1"/>
      <c r="O834" s="4" t="e" cm="1">
        <f t="array" ref="O834">_xlfn.IFS(J834="Dell Inspiron 15",66989,J834="Lenovo IdeaPad Slim 3i",34690,J834="Mi NoteBook Ultra",57999,J834="Samsung Galaxy Go",36990,J834="Acer Aspire 3",38980)</f>
        <v>#N/A</v>
      </c>
    </row>
    <row r="835" spans="7:15" x14ac:dyDescent="0.25">
      <c r="G835" t="str">
        <f>UPPER(Table1[[#This Row],[State]])</f>
        <v/>
      </c>
      <c r="L835" s="1"/>
      <c r="M835" s="1"/>
      <c r="O835" s="4" t="e" cm="1">
        <f t="array" ref="O835">_xlfn.IFS(J835="Dell Inspiron 15",66989,J835="Lenovo IdeaPad Slim 3i",34690,J835="Mi NoteBook Ultra",57999,J835="Samsung Galaxy Go",36990,J835="Acer Aspire 3",38980)</f>
        <v>#N/A</v>
      </c>
    </row>
    <row r="836" spans="7:15" x14ac:dyDescent="0.25">
      <c r="G836" t="str">
        <f>UPPER(Table1[[#This Row],[State]])</f>
        <v/>
      </c>
      <c r="L836" s="1"/>
      <c r="M836" s="1"/>
      <c r="O836" s="4" t="e" cm="1">
        <f t="array" ref="O836">_xlfn.IFS(J836="Dell Inspiron 15",66989,J836="Lenovo IdeaPad Slim 3i",34690,J836="Mi NoteBook Ultra",57999,J836="Samsung Galaxy Go",36990,J836="Acer Aspire 3",38980)</f>
        <v>#N/A</v>
      </c>
    </row>
    <row r="837" spans="7:15" x14ac:dyDescent="0.25">
      <c r="G837" t="str">
        <f>UPPER(Table1[[#This Row],[State]])</f>
        <v/>
      </c>
      <c r="L837" s="1"/>
      <c r="M837" s="1"/>
      <c r="O837" s="4" t="e" cm="1">
        <f t="array" ref="O837">_xlfn.IFS(J837="Dell Inspiron 15",66989,J837="Lenovo IdeaPad Slim 3i",34690,J837="Mi NoteBook Ultra",57999,J837="Samsung Galaxy Go",36990,J837="Acer Aspire 3",38980)</f>
        <v>#N/A</v>
      </c>
    </row>
    <row r="838" spans="7:15" x14ac:dyDescent="0.25">
      <c r="G838" t="str">
        <f>UPPER(Table1[[#This Row],[State]])</f>
        <v/>
      </c>
      <c r="L838" s="1"/>
      <c r="M838" s="1"/>
      <c r="O838" s="4" t="e" cm="1">
        <f t="array" ref="O838">_xlfn.IFS(J838="Dell Inspiron 15",66989,J838="Lenovo IdeaPad Slim 3i",34690,J838="Mi NoteBook Ultra",57999,J838="Samsung Galaxy Go",36990,J838="Acer Aspire 3",38980)</f>
        <v>#N/A</v>
      </c>
    </row>
    <row r="839" spans="7:15" x14ac:dyDescent="0.25">
      <c r="G839" t="str">
        <f>UPPER(Table1[[#This Row],[State]])</f>
        <v/>
      </c>
      <c r="L839" s="1"/>
      <c r="M839" s="1"/>
      <c r="O839" s="4" t="e" cm="1">
        <f t="array" ref="O839">_xlfn.IFS(J839="Dell Inspiron 15",66989,J839="Lenovo IdeaPad Slim 3i",34690,J839="Mi NoteBook Ultra",57999,J839="Samsung Galaxy Go",36990,J839="Acer Aspire 3",38980)</f>
        <v>#N/A</v>
      </c>
    </row>
    <row r="840" spans="7:15" x14ac:dyDescent="0.25">
      <c r="G840" t="str">
        <f>UPPER(Table1[[#This Row],[State]])</f>
        <v/>
      </c>
      <c r="L840" s="1"/>
      <c r="M840" s="1"/>
      <c r="O840" s="4" t="e" cm="1">
        <f t="array" ref="O840">_xlfn.IFS(J840="Dell Inspiron 15",66989,J840="Lenovo IdeaPad Slim 3i",34690,J840="Mi NoteBook Ultra",57999,J840="Samsung Galaxy Go",36990,J840="Acer Aspire 3",38980)</f>
        <v>#N/A</v>
      </c>
    </row>
    <row r="841" spans="7:15" x14ac:dyDescent="0.25">
      <c r="G841" t="str">
        <f>UPPER(Table1[[#This Row],[State]])</f>
        <v/>
      </c>
      <c r="L841" s="1"/>
      <c r="M841" s="1"/>
      <c r="O841" s="4" t="e" cm="1">
        <f t="array" ref="O841">_xlfn.IFS(J841="Dell Inspiron 15",66989,J841="Lenovo IdeaPad Slim 3i",34690,J841="Mi NoteBook Ultra",57999,J841="Samsung Galaxy Go",36990,J841="Acer Aspire 3",38980)</f>
        <v>#N/A</v>
      </c>
    </row>
    <row r="842" spans="7:15" x14ac:dyDescent="0.25">
      <c r="G842" t="str">
        <f>UPPER(Table1[[#This Row],[State]])</f>
        <v/>
      </c>
      <c r="L842" s="1"/>
      <c r="M842" s="1"/>
      <c r="O842" s="4" t="e" cm="1">
        <f t="array" ref="O842">_xlfn.IFS(J842="Dell Inspiron 15",66989,J842="Lenovo IdeaPad Slim 3i",34690,J842="Mi NoteBook Ultra",57999,J842="Samsung Galaxy Go",36990,J842="Acer Aspire 3",38980)</f>
        <v>#N/A</v>
      </c>
    </row>
    <row r="843" spans="7:15" x14ac:dyDescent="0.25">
      <c r="G843" t="str">
        <f>UPPER(Table1[[#This Row],[State]])</f>
        <v/>
      </c>
      <c r="L843" s="1"/>
      <c r="M843" s="1"/>
      <c r="O843" s="4" t="e" cm="1">
        <f t="array" ref="O843">_xlfn.IFS(J843="Dell Inspiron 15",66989,J843="Lenovo IdeaPad Slim 3i",34690,J843="Mi NoteBook Ultra",57999,J843="Samsung Galaxy Go",36990,J843="Acer Aspire 3",38980)</f>
        <v>#N/A</v>
      </c>
    </row>
    <row r="844" spans="7:15" x14ac:dyDescent="0.25">
      <c r="G844" t="str">
        <f>UPPER(Table1[[#This Row],[State]])</f>
        <v/>
      </c>
      <c r="L844" s="1"/>
      <c r="M844" s="1"/>
      <c r="O844" s="4" t="e" cm="1">
        <f t="array" ref="O844">_xlfn.IFS(J844="Dell Inspiron 15",66989,J844="Lenovo IdeaPad Slim 3i",34690,J844="Mi NoteBook Ultra",57999,J844="Samsung Galaxy Go",36990,J844="Acer Aspire 3",38980)</f>
        <v>#N/A</v>
      </c>
    </row>
    <row r="845" spans="7:15" x14ac:dyDescent="0.25">
      <c r="G845" t="str">
        <f>UPPER(Table1[[#This Row],[State]])</f>
        <v/>
      </c>
      <c r="L845" s="1"/>
      <c r="M845" s="1"/>
      <c r="O845" s="4" t="e" cm="1">
        <f t="array" ref="O845">_xlfn.IFS(J845="Dell Inspiron 15",66989,J845="Lenovo IdeaPad Slim 3i",34690,J845="Mi NoteBook Ultra",57999,J845="Samsung Galaxy Go",36990,J845="Acer Aspire 3",38980)</f>
        <v>#N/A</v>
      </c>
    </row>
    <row r="846" spans="7:15" x14ac:dyDescent="0.25">
      <c r="G846" t="str">
        <f>UPPER(Table1[[#This Row],[State]])</f>
        <v/>
      </c>
      <c r="L846" s="1"/>
      <c r="M846" s="1"/>
      <c r="O846" s="4" t="e" cm="1">
        <f t="array" ref="O846">_xlfn.IFS(J846="Dell Inspiron 15",66989,J846="Lenovo IdeaPad Slim 3i",34690,J846="Mi NoteBook Ultra",57999,J846="Samsung Galaxy Go",36990,J846="Acer Aspire 3",38980)</f>
        <v>#N/A</v>
      </c>
    </row>
    <row r="847" spans="7:15" x14ac:dyDescent="0.25">
      <c r="G847" t="str">
        <f>UPPER(Table1[[#This Row],[State]])</f>
        <v/>
      </c>
      <c r="L847" s="1"/>
      <c r="M847" s="1"/>
      <c r="O847" s="4" t="e" cm="1">
        <f t="array" ref="O847">_xlfn.IFS(J847="Dell Inspiron 15",66989,J847="Lenovo IdeaPad Slim 3i",34690,J847="Mi NoteBook Ultra",57999,J847="Samsung Galaxy Go",36990,J847="Acer Aspire 3",38980)</f>
        <v>#N/A</v>
      </c>
    </row>
    <row r="848" spans="7:15" x14ac:dyDescent="0.25">
      <c r="G848" t="str">
        <f>UPPER(Table1[[#This Row],[State]])</f>
        <v/>
      </c>
      <c r="L848" s="1"/>
      <c r="M848" s="1"/>
      <c r="O848" s="4" t="e" cm="1">
        <f t="array" ref="O848">_xlfn.IFS(J848="Dell Inspiron 15",66989,J848="Lenovo IdeaPad Slim 3i",34690,J848="Mi NoteBook Ultra",57999,J848="Samsung Galaxy Go",36990,J848="Acer Aspire 3",38980)</f>
        <v>#N/A</v>
      </c>
    </row>
    <row r="849" spans="7:15" x14ac:dyDescent="0.25">
      <c r="G849" t="str">
        <f>UPPER(Table1[[#This Row],[State]])</f>
        <v/>
      </c>
      <c r="L849" s="1"/>
      <c r="M849" s="1"/>
      <c r="O849" s="4" t="e" cm="1">
        <f t="array" ref="O849">_xlfn.IFS(J849="Dell Inspiron 15",66989,J849="Lenovo IdeaPad Slim 3i",34690,J849="Mi NoteBook Ultra",57999,J849="Samsung Galaxy Go",36990,J849="Acer Aspire 3",38980)</f>
        <v>#N/A</v>
      </c>
    </row>
    <row r="850" spans="7:15" x14ac:dyDescent="0.25">
      <c r="G850" t="str">
        <f>UPPER(Table1[[#This Row],[State]])</f>
        <v/>
      </c>
      <c r="L850" s="1"/>
      <c r="M850" s="1"/>
      <c r="O850" s="4" t="e" cm="1">
        <f t="array" ref="O850">_xlfn.IFS(J850="Dell Inspiron 15",66989,J850="Lenovo IdeaPad Slim 3i",34690,J850="Mi NoteBook Ultra",57999,J850="Samsung Galaxy Go",36990,J850="Acer Aspire 3",38980)</f>
        <v>#N/A</v>
      </c>
    </row>
    <row r="851" spans="7:15" x14ac:dyDescent="0.25">
      <c r="G851" t="str">
        <f>UPPER(Table1[[#This Row],[State]])</f>
        <v/>
      </c>
      <c r="L851" s="1"/>
      <c r="M851" s="1"/>
      <c r="O851" s="4" t="e" cm="1">
        <f t="array" ref="O851">_xlfn.IFS(J851="Dell Inspiron 15",66989,J851="Lenovo IdeaPad Slim 3i",34690,J851="Mi NoteBook Ultra",57999,J851="Samsung Galaxy Go",36990,J851="Acer Aspire 3",38980)</f>
        <v>#N/A</v>
      </c>
    </row>
    <row r="852" spans="7:15" x14ac:dyDescent="0.25">
      <c r="G852" t="str">
        <f>UPPER(Table1[[#This Row],[State]])</f>
        <v/>
      </c>
      <c r="L852" s="1"/>
      <c r="M852" s="1"/>
      <c r="O852" s="4" t="e" cm="1">
        <f t="array" ref="O852">_xlfn.IFS(J852="Dell Inspiron 15",66989,J852="Lenovo IdeaPad Slim 3i",34690,J852="Mi NoteBook Ultra",57999,J852="Samsung Galaxy Go",36990,J852="Acer Aspire 3",38980)</f>
        <v>#N/A</v>
      </c>
    </row>
    <row r="853" spans="7:15" x14ac:dyDescent="0.25">
      <c r="G853" t="str">
        <f>UPPER(Table1[[#This Row],[State]])</f>
        <v/>
      </c>
      <c r="L853" s="1"/>
      <c r="M853" s="1"/>
      <c r="O853" s="4" t="e" cm="1">
        <f t="array" ref="O853">_xlfn.IFS(J853="Dell Inspiron 15",66989,J853="Lenovo IdeaPad Slim 3i",34690,J853="Mi NoteBook Ultra",57999,J853="Samsung Galaxy Go",36990,J853="Acer Aspire 3",38980)</f>
        <v>#N/A</v>
      </c>
    </row>
    <row r="854" spans="7:15" x14ac:dyDescent="0.25">
      <c r="G854" t="str">
        <f>UPPER(Table1[[#This Row],[State]])</f>
        <v/>
      </c>
      <c r="L854" s="1"/>
      <c r="M854" s="1"/>
      <c r="O854" s="4" t="e" cm="1">
        <f t="array" ref="O854">_xlfn.IFS(J854="Dell Inspiron 15",66989,J854="Lenovo IdeaPad Slim 3i",34690,J854="Mi NoteBook Ultra",57999,J854="Samsung Galaxy Go",36990,J854="Acer Aspire 3",38980)</f>
        <v>#N/A</v>
      </c>
    </row>
    <row r="855" spans="7:15" x14ac:dyDescent="0.25">
      <c r="G855" t="str">
        <f>UPPER(Table1[[#This Row],[State]])</f>
        <v/>
      </c>
      <c r="L855" s="1"/>
      <c r="M855" s="1"/>
      <c r="O855" s="4" t="e" cm="1">
        <f t="array" ref="O855">_xlfn.IFS(J855="Dell Inspiron 15",66989,J855="Lenovo IdeaPad Slim 3i",34690,J855="Mi NoteBook Ultra",57999,J855="Samsung Galaxy Go",36990,J855="Acer Aspire 3",38980)</f>
        <v>#N/A</v>
      </c>
    </row>
    <row r="856" spans="7:15" x14ac:dyDescent="0.25">
      <c r="G856" t="str">
        <f>UPPER(Table1[[#This Row],[State]])</f>
        <v/>
      </c>
      <c r="L856" s="1"/>
      <c r="M856" s="1"/>
      <c r="O856" s="4" t="e" cm="1">
        <f t="array" ref="O856">_xlfn.IFS(J856="Dell Inspiron 15",66989,J856="Lenovo IdeaPad Slim 3i",34690,J856="Mi NoteBook Ultra",57999,J856="Samsung Galaxy Go",36990,J856="Acer Aspire 3",38980)</f>
        <v>#N/A</v>
      </c>
    </row>
    <row r="857" spans="7:15" x14ac:dyDescent="0.25">
      <c r="G857" t="str">
        <f>UPPER(Table1[[#This Row],[State]])</f>
        <v/>
      </c>
      <c r="L857" s="1"/>
      <c r="M857" s="1"/>
      <c r="O857" s="4" t="e" cm="1">
        <f t="array" ref="O857">_xlfn.IFS(J857="Dell Inspiron 15",66989,J857="Lenovo IdeaPad Slim 3i",34690,J857="Mi NoteBook Ultra",57999,J857="Samsung Galaxy Go",36990,J857="Acer Aspire 3",38980)</f>
        <v>#N/A</v>
      </c>
    </row>
    <row r="858" spans="7:15" x14ac:dyDescent="0.25">
      <c r="G858" t="str">
        <f>UPPER(Table1[[#This Row],[State]])</f>
        <v/>
      </c>
      <c r="L858" s="1"/>
      <c r="M858" s="1"/>
      <c r="O858" s="4" t="e" cm="1">
        <f t="array" ref="O858">_xlfn.IFS(J858="Dell Inspiron 15",66989,J858="Lenovo IdeaPad Slim 3i",34690,J858="Mi NoteBook Ultra",57999,J858="Samsung Galaxy Go",36990,J858="Acer Aspire 3",38980)</f>
        <v>#N/A</v>
      </c>
    </row>
    <row r="859" spans="7:15" x14ac:dyDescent="0.25">
      <c r="G859" t="str">
        <f>UPPER(Table1[[#This Row],[State]])</f>
        <v/>
      </c>
      <c r="L859" s="1"/>
      <c r="M859" s="1"/>
      <c r="O859" s="4" t="e" cm="1">
        <f t="array" ref="O859">_xlfn.IFS(J859="Dell Inspiron 15",66989,J859="Lenovo IdeaPad Slim 3i",34690,J859="Mi NoteBook Ultra",57999,J859="Samsung Galaxy Go",36990,J859="Acer Aspire 3",38980)</f>
        <v>#N/A</v>
      </c>
    </row>
    <row r="860" spans="7:15" x14ac:dyDescent="0.25">
      <c r="G860" t="str">
        <f>UPPER(Table1[[#This Row],[State]])</f>
        <v/>
      </c>
      <c r="L860" s="1"/>
      <c r="M860" s="1"/>
      <c r="O860" s="4" t="e" cm="1">
        <f t="array" ref="O860">_xlfn.IFS(J860="Dell Inspiron 15",66989,J860="Lenovo IdeaPad Slim 3i",34690,J860="Mi NoteBook Ultra",57999,J860="Samsung Galaxy Go",36990,J860="Acer Aspire 3",38980)</f>
        <v>#N/A</v>
      </c>
    </row>
    <row r="861" spans="7:15" x14ac:dyDescent="0.25">
      <c r="G861" t="str">
        <f>UPPER(Table1[[#This Row],[State]])</f>
        <v/>
      </c>
      <c r="L861" s="1"/>
      <c r="M861" s="1"/>
      <c r="O861" s="4" t="e" cm="1">
        <f t="array" ref="O861">_xlfn.IFS(J861="Dell Inspiron 15",66989,J861="Lenovo IdeaPad Slim 3i",34690,J861="Mi NoteBook Ultra",57999,J861="Samsung Galaxy Go",36990,J861="Acer Aspire 3",38980)</f>
        <v>#N/A</v>
      </c>
    </row>
    <row r="862" spans="7:15" x14ac:dyDescent="0.25">
      <c r="G862" t="str">
        <f>UPPER(Table1[[#This Row],[State]])</f>
        <v/>
      </c>
      <c r="L862" s="1"/>
      <c r="M862" s="1"/>
      <c r="O862" s="4" t="e" cm="1">
        <f t="array" ref="O862">_xlfn.IFS(J862="Dell Inspiron 15",66989,J862="Lenovo IdeaPad Slim 3i",34690,J862="Mi NoteBook Ultra",57999,J862="Samsung Galaxy Go",36990,J862="Acer Aspire 3",38980)</f>
        <v>#N/A</v>
      </c>
    </row>
    <row r="863" spans="7:15" x14ac:dyDescent="0.25">
      <c r="G863" t="str">
        <f>UPPER(Table1[[#This Row],[State]])</f>
        <v/>
      </c>
      <c r="L863" s="1"/>
      <c r="M863" s="1"/>
      <c r="O863" s="4" t="e" cm="1">
        <f t="array" ref="O863">_xlfn.IFS(J863="Dell Inspiron 15",66989,J863="Lenovo IdeaPad Slim 3i",34690,J863="Mi NoteBook Ultra",57999,J863="Samsung Galaxy Go",36990,J863="Acer Aspire 3",38980)</f>
        <v>#N/A</v>
      </c>
    </row>
    <row r="864" spans="7:15" x14ac:dyDescent="0.25">
      <c r="G864" t="str">
        <f>UPPER(Table1[[#This Row],[State]])</f>
        <v/>
      </c>
      <c r="L864" s="1"/>
      <c r="M864" s="1"/>
      <c r="O864" s="4" t="e" cm="1">
        <f t="array" ref="O864">_xlfn.IFS(J864="Dell Inspiron 15",66989,J864="Lenovo IdeaPad Slim 3i",34690,J864="Mi NoteBook Ultra",57999,J864="Samsung Galaxy Go",36990,J864="Acer Aspire 3",38980)</f>
        <v>#N/A</v>
      </c>
    </row>
    <row r="865" spans="7:15" x14ac:dyDescent="0.25">
      <c r="G865" t="str">
        <f>UPPER(Table1[[#This Row],[State]])</f>
        <v/>
      </c>
      <c r="L865" s="1"/>
      <c r="M865" s="1"/>
      <c r="O865" s="4" t="e" cm="1">
        <f t="array" ref="O865">_xlfn.IFS(J865="Dell Inspiron 15",66989,J865="Lenovo IdeaPad Slim 3i",34690,J865="Mi NoteBook Ultra",57999,J865="Samsung Galaxy Go",36990,J865="Acer Aspire 3",38980)</f>
        <v>#N/A</v>
      </c>
    </row>
    <row r="866" spans="7:15" x14ac:dyDescent="0.25">
      <c r="G866" t="str">
        <f>UPPER(Table1[[#This Row],[State]])</f>
        <v/>
      </c>
      <c r="L866" s="1"/>
      <c r="M866" s="1"/>
      <c r="O866" s="4" t="e" cm="1">
        <f t="array" ref="O866">_xlfn.IFS(J866="Dell Inspiron 15",66989,J866="Lenovo IdeaPad Slim 3i",34690,J866="Mi NoteBook Ultra",57999,J866="Samsung Galaxy Go",36990,J866="Acer Aspire 3",38980)</f>
        <v>#N/A</v>
      </c>
    </row>
    <row r="867" spans="7:15" x14ac:dyDescent="0.25">
      <c r="G867" t="str">
        <f>UPPER(Table1[[#This Row],[State]])</f>
        <v/>
      </c>
      <c r="L867" s="1"/>
      <c r="M867" s="1"/>
      <c r="O867" s="4" t="e" cm="1">
        <f t="array" ref="O867">_xlfn.IFS(J867="Dell Inspiron 15",66989,J867="Lenovo IdeaPad Slim 3i",34690,J867="Mi NoteBook Ultra",57999,J867="Samsung Galaxy Go",36990,J867="Acer Aspire 3",38980)</f>
        <v>#N/A</v>
      </c>
    </row>
    <row r="868" spans="7:15" x14ac:dyDescent="0.25">
      <c r="G868" t="str">
        <f>UPPER(Table1[[#This Row],[State]])</f>
        <v/>
      </c>
      <c r="L868" s="1"/>
      <c r="M868" s="1"/>
      <c r="O868" s="4" t="e" cm="1">
        <f t="array" ref="O868">_xlfn.IFS(J868="Dell Inspiron 15",66989,J868="Lenovo IdeaPad Slim 3i",34690,J868="Mi NoteBook Ultra",57999,J868="Samsung Galaxy Go",36990,J868="Acer Aspire 3",38980)</f>
        <v>#N/A</v>
      </c>
    </row>
    <row r="869" spans="7:15" x14ac:dyDescent="0.25">
      <c r="G869" t="str">
        <f>UPPER(Table1[[#This Row],[State]])</f>
        <v/>
      </c>
      <c r="L869" s="1"/>
      <c r="M869" s="1"/>
      <c r="O869" s="4" t="e" cm="1">
        <f t="array" ref="O869">_xlfn.IFS(J869="Dell Inspiron 15",66989,J869="Lenovo IdeaPad Slim 3i",34690,J869="Mi NoteBook Ultra",57999,J869="Samsung Galaxy Go",36990,J869="Acer Aspire 3",38980)</f>
        <v>#N/A</v>
      </c>
    </row>
    <row r="870" spans="7:15" x14ac:dyDescent="0.25">
      <c r="G870" t="str">
        <f>UPPER(Table1[[#This Row],[State]])</f>
        <v/>
      </c>
      <c r="L870" s="1"/>
      <c r="M870" s="1"/>
      <c r="O870" s="4" t="e" cm="1">
        <f t="array" ref="O870">_xlfn.IFS(J870="Dell Inspiron 15",66989,J870="Lenovo IdeaPad Slim 3i",34690,J870="Mi NoteBook Ultra",57999,J870="Samsung Galaxy Go",36990,J870="Acer Aspire 3",38980)</f>
        <v>#N/A</v>
      </c>
    </row>
    <row r="871" spans="7:15" x14ac:dyDescent="0.25">
      <c r="G871" t="str">
        <f>UPPER(Table1[[#This Row],[State]])</f>
        <v/>
      </c>
      <c r="L871" s="1"/>
      <c r="M871" s="1"/>
      <c r="O871" s="4" t="e" cm="1">
        <f t="array" ref="O871">_xlfn.IFS(J871="Dell Inspiron 15",66989,J871="Lenovo IdeaPad Slim 3i",34690,J871="Mi NoteBook Ultra",57999,J871="Samsung Galaxy Go",36990,J871="Acer Aspire 3",38980)</f>
        <v>#N/A</v>
      </c>
    </row>
    <row r="872" spans="7:15" x14ac:dyDescent="0.25">
      <c r="G872" t="str">
        <f>UPPER(Table1[[#This Row],[State]])</f>
        <v/>
      </c>
      <c r="L872" s="1"/>
      <c r="M872" s="1"/>
      <c r="O872" s="4" t="e" cm="1">
        <f t="array" ref="O872">_xlfn.IFS(J872="Dell Inspiron 15",66989,J872="Lenovo IdeaPad Slim 3i",34690,J872="Mi NoteBook Ultra",57999,J872="Samsung Galaxy Go",36990,J872="Acer Aspire 3",38980)</f>
        <v>#N/A</v>
      </c>
    </row>
    <row r="873" spans="7:15" x14ac:dyDescent="0.25">
      <c r="G873" t="str">
        <f>UPPER(Table1[[#This Row],[State]])</f>
        <v/>
      </c>
      <c r="L873" s="1"/>
      <c r="M873" s="1"/>
      <c r="O873" s="4" t="e" cm="1">
        <f t="array" ref="O873">_xlfn.IFS(J873="Dell Inspiron 15",66989,J873="Lenovo IdeaPad Slim 3i",34690,J873="Mi NoteBook Ultra",57999,J873="Samsung Galaxy Go",36990,J873="Acer Aspire 3",38980)</f>
        <v>#N/A</v>
      </c>
    </row>
    <row r="874" spans="7:15" x14ac:dyDescent="0.25">
      <c r="G874" t="str">
        <f>UPPER(Table1[[#This Row],[State]])</f>
        <v/>
      </c>
      <c r="L874" s="1"/>
      <c r="M874" s="1"/>
      <c r="O874" s="4" t="e" cm="1">
        <f t="array" ref="O874">_xlfn.IFS(J874="Dell Inspiron 15",66989,J874="Lenovo IdeaPad Slim 3i",34690,J874="Mi NoteBook Ultra",57999,J874="Samsung Galaxy Go",36990,J874="Acer Aspire 3",38980)</f>
        <v>#N/A</v>
      </c>
    </row>
    <row r="875" spans="7:15" x14ac:dyDescent="0.25">
      <c r="G875" t="str">
        <f>UPPER(Table1[[#This Row],[State]])</f>
        <v/>
      </c>
      <c r="L875" s="1"/>
      <c r="M875" s="1"/>
      <c r="O875" s="4" t="e" cm="1">
        <f t="array" ref="O875">_xlfn.IFS(J875="Dell Inspiron 15",66989,J875="Lenovo IdeaPad Slim 3i",34690,J875="Mi NoteBook Ultra",57999,J875="Samsung Galaxy Go",36990,J875="Acer Aspire 3",38980)</f>
        <v>#N/A</v>
      </c>
    </row>
    <row r="876" spans="7:15" x14ac:dyDescent="0.25">
      <c r="G876" t="str">
        <f>UPPER(Table1[[#This Row],[State]])</f>
        <v/>
      </c>
      <c r="L876" s="1"/>
      <c r="M876" s="1"/>
      <c r="O876" s="4" t="e" cm="1">
        <f t="array" ref="O876">_xlfn.IFS(J876="Dell Inspiron 15",66989,J876="Lenovo IdeaPad Slim 3i",34690,J876="Mi NoteBook Ultra",57999,J876="Samsung Galaxy Go",36990,J876="Acer Aspire 3",38980)</f>
        <v>#N/A</v>
      </c>
    </row>
    <row r="877" spans="7:15" x14ac:dyDescent="0.25">
      <c r="G877" t="str">
        <f>UPPER(Table1[[#This Row],[State]])</f>
        <v/>
      </c>
      <c r="L877" s="1"/>
      <c r="M877" s="1"/>
      <c r="O877" s="4" t="e" cm="1">
        <f t="array" ref="O877">_xlfn.IFS(J877="Dell Inspiron 15",66989,J877="Lenovo IdeaPad Slim 3i",34690,J877="Mi NoteBook Ultra",57999,J877="Samsung Galaxy Go",36990,J877="Acer Aspire 3",38980)</f>
        <v>#N/A</v>
      </c>
    </row>
    <row r="878" spans="7:15" x14ac:dyDescent="0.25">
      <c r="G878" t="str">
        <f>UPPER(Table1[[#This Row],[State]])</f>
        <v/>
      </c>
      <c r="L878" s="1"/>
      <c r="M878" s="1"/>
      <c r="O878" s="4" t="e" cm="1">
        <f t="array" ref="O878">_xlfn.IFS(J878="Dell Inspiron 15",66989,J878="Lenovo IdeaPad Slim 3i",34690,J878="Mi NoteBook Ultra",57999,J878="Samsung Galaxy Go",36990,J878="Acer Aspire 3",38980)</f>
        <v>#N/A</v>
      </c>
    </row>
    <row r="879" spans="7:15" x14ac:dyDescent="0.25">
      <c r="G879" t="str">
        <f>UPPER(Table1[[#This Row],[State]])</f>
        <v/>
      </c>
      <c r="L879" s="1"/>
      <c r="M879" s="1"/>
      <c r="O879" s="4" t="e" cm="1">
        <f t="array" ref="O879">_xlfn.IFS(J879="Dell Inspiron 15",66989,J879="Lenovo IdeaPad Slim 3i",34690,J879="Mi NoteBook Ultra",57999,J879="Samsung Galaxy Go",36990,J879="Acer Aspire 3",38980)</f>
        <v>#N/A</v>
      </c>
    </row>
    <row r="880" spans="7:15" x14ac:dyDescent="0.25">
      <c r="G880" t="str">
        <f>UPPER(Table1[[#This Row],[State]])</f>
        <v/>
      </c>
      <c r="L880" s="1"/>
      <c r="M880" s="1"/>
      <c r="O880" s="4" t="e" cm="1">
        <f t="array" ref="O880">_xlfn.IFS(J880="Dell Inspiron 15",66989,J880="Lenovo IdeaPad Slim 3i",34690,J880="Mi NoteBook Ultra",57999,J880="Samsung Galaxy Go",36990,J880="Acer Aspire 3",38980)</f>
        <v>#N/A</v>
      </c>
    </row>
    <row r="881" spans="7:15" x14ac:dyDescent="0.25">
      <c r="G881" t="str">
        <f>UPPER(Table1[[#This Row],[State]])</f>
        <v/>
      </c>
      <c r="L881" s="1"/>
      <c r="M881" s="1"/>
      <c r="O881" s="4" t="e" cm="1">
        <f t="array" ref="O881">_xlfn.IFS(J881="Dell Inspiron 15",66989,J881="Lenovo IdeaPad Slim 3i",34690,J881="Mi NoteBook Ultra",57999,J881="Samsung Galaxy Go",36990,J881="Acer Aspire 3",38980)</f>
        <v>#N/A</v>
      </c>
    </row>
    <row r="882" spans="7:15" x14ac:dyDescent="0.25">
      <c r="G882" t="str">
        <f>UPPER(Table1[[#This Row],[State]])</f>
        <v/>
      </c>
      <c r="L882" s="1"/>
      <c r="M882" s="1"/>
      <c r="O882" s="4" t="e" cm="1">
        <f t="array" ref="O882">_xlfn.IFS(J882="Dell Inspiron 15",66989,J882="Lenovo IdeaPad Slim 3i",34690,J882="Mi NoteBook Ultra",57999,J882="Samsung Galaxy Go",36990,J882="Acer Aspire 3",38980)</f>
        <v>#N/A</v>
      </c>
    </row>
    <row r="883" spans="7:15" x14ac:dyDescent="0.25">
      <c r="G883" t="str">
        <f>UPPER(Table1[[#This Row],[State]])</f>
        <v/>
      </c>
      <c r="L883" s="1"/>
      <c r="M883" s="1"/>
      <c r="O883" s="4" t="e" cm="1">
        <f t="array" ref="O883">_xlfn.IFS(J883="Dell Inspiron 15",66989,J883="Lenovo IdeaPad Slim 3i",34690,J883="Mi NoteBook Ultra",57999,J883="Samsung Galaxy Go",36990,J883="Acer Aspire 3",38980)</f>
        <v>#N/A</v>
      </c>
    </row>
    <row r="884" spans="7:15" x14ac:dyDescent="0.25">
      <c r="G884" t="str">
        <f>UPPER(Table1[[#This Row],[State]])</f>
        <v/>
      </c>
      <c r="L884" s="1"/>
      <c r="M884" s="1"/>
      <c r="O884" s="4" t="e" cm="1">
        <f t="array" ref="O884">_xlfn.IFS(J884="Dell Inspiron 15",66989,J884="Lenovo IdeaPad Slim 3i",34690,J884="Mi NoteBook Ultra",57999,J884="Samsung Galaxy Go",36990,J884="Acer Aspire 3",38980)</f>
        <v>#N/A</v>
      </c>
    </row>
    <row r="885" spans="7:15" x14ac:dyDescent="0.25">
      <c r="G885" t="str">
        <f>UPPER(Table1[[#This Row],[State]])</f>
        <v/>
      </c>
      <c r="L885" s="1"/>
      <c r="M885" s="1"/>
      <c r="O885" s="4" t="e" cm="1">
        <f t="array" ref="O885">_xlfn.IFS(J885="Dell Inspiron 15",66989,J885="Lenovo IdeaPad Slim 3i",34690,J885="Mi NoteBook Ultra",57999,J885="Samsung Galaxy Go",36990,J885="Acer Aspire 3",38980)</f>
        <v>#N/A</v>
      </c>
    </row>
    <row r="886" spans="7:15" x14ac:dyDescent="0.25">
      <c r="G886" t="str">
        <f>UPPER(Table1[[#This Row],[State]])</f>
        <v/>
      </c>
      <c r="L886" s="1"/>
      <c r="M886" s="1"/>
      <c r="O886" s="4" t="e" cm="1">
        <f t="array" ref="O886">_xlfn.IFS(J886="Dell Inspiron 15",66989,J886="Lenovo IdeaPad Slim 3i",34690,J886="Mi NoteBook Ultra",57999,J886="Samsung Galaxy Go",36990,J886="Acer Aspire 3",38980)</f>
        <v>#N/A</v>
      </c>
    </row>
    <row r="887" spans="7:15" x14ac:dyDescent="0.25">
      <c r="G887" t="str">
        <f>UPPER(Table1[[#This Row],[State]])</f>
        <v/>
      </c>
      <c r="L887" s="1"/>
      <c r="M887" s="1"/>
      <c r="O887" s="4" t="e" cm="1">
        <f t="array" ref="O887">_xlfn.IFS(J887="Dell Inspiron 15",66989,J887="Lenovo IdeaPad Slim 3i",34690,J887="Mi NoteBook Ultra",57999,J887="Samsung Galaxy Go",36990,J887="Acer Aspire 3",38980)</f>
        <v>#N/A</v>
      </c>
    </row>
    <row r="888" spans="7:15" x14ac:dyDescent="0.25">
      <c r="G888" t="str">
        <f>UPPER(Table1[[#This Row],[State]])</f>
        <v/>
      </c>
      <c r="L888" s="1"/>
      <c r="M888" s="1"/>
      <c r="O888" s="4" t="e" cm="1">
        <f t="array" ref="O888">_xlfn.IFS(J888="Dell Inspiron 15",66989,J888="Lenovo IdeaPad Slim 3i",34690,J888="Mi NoteBook Ultra",57999,J888="Samsung Galaxy Go",36990,J888="Acer Aspire 3",38980)</f>
        <v>#N/A</v>
      </c>
    </row>
    <row r="889" spans="7:15" x14ac:dyDescent="0.25">
      <c r="G889" t="str">
        <f>UPPER(Table1[[#This Row],[State]])</f>
        <v/>
      </c>
      <c r="L889" s="1"/>
      <c r="M889" s="1"/>
      <c r="O889" s="4" t="e" cm="1">
        <f t="array" ref="O889">_xlfn.IFS(J889="Dell Inspiron 15",66989,J889="Lenovo IdeaPad Slim 3i",34690,J889="Mi NoteBook Ultra",57999,J889="Samsung Galaxy Go",36990,J889="Acer Aspire 3",38980)</f>
        <v>#N/A</v>
      </c>
    </row>
    <row r="890" spans="7:15" x14ac:dyDescent="0.25">
      <c r="G890" t="str">
        <f>UPPER(Table1[[#This Row],[State]])</f>
        <v/>
      </c>
      <c r="L890" s="1"/>
      <c r="M890" s="1"/>
      <c r="O890" s="4" t="e" cm="1">
        <f t="array" ref="O890">_xlfn.IFS(J890="Dell Inspiron 15",66989,J890="Lenovo IdeaPad Slim 3i",34690,J890="Mi NoteBook Ultra",57999,J890="Samsung Galaxy Go",36990,J890="Acer Aspire 3",38980)</f>
        <v>#N/A</v>
      </c>
    </row>
    <row r="891" spans="7:15" x14ac:dyDescent="0.25">
      <c r="G891" t="str">
        <f>UPPER(Table1[[#This Row],[State]])</f>
        <v/>
      </c>
      <c r="L891" s="1"/>
      <c r="M891" s="1"/>
      <c r="O891" s="4" t="e" cm="1">
        <f t="array" ref="O891">_xlfn.IFS(J891="Dell Inspiron 15",66989,J891="Lenovo IdeaPad Slim 3i",34690,J891="Mi NoteBook Ultra",57999,J891="Samsung Galaxy Go",36990,J891="Acer Aspire 3",38980)</f>
        <v>#N/A</v>
      </c>
    </row>
    <row r="892" spans="7:15" x14ac:dyDescent="0.25">
      <c r="G892" t="str">
        <f>UPPER(Table1[[#This Row],[State]])</f>
        <v/>
      </c>
      <c r="L892" s="1"/>
      <c r="M892" s="1"/>
      <c r="O892" s="4" t="e" cm="1">
        <f t="array" ref="O892">_xlfn.IFS(J892="Dell Inspiron 15",66989,J892="Lenovo IdeaPad Slim 3i",34690,J892="Mi NoteBook Ultra",57999,J892="Samsung Galaxy Go",36990,J892="Acer Aspire 3",38980)</f>
        <v>#N/A</v>
      </c>
    </row>
    <row r="893" spans="7:15" x14ac:dyDescent="0.25">
      <c r="G893" t="str">
        <f>UPPER(Table1[[#This Row],[State]])</f>
        <v/>
      </c>
      <c r="L893" s="1"/>
      <c r="M893" s="1"/>
      <c r="O893" s="4" t="e" cm="1">
        <f t="array" ref="O893">_xlfn.IFS(J893="Dell Inspiron 15",66989,J893="Lenovo IdeaPad Slim 3i",34690,J893="Mi NoteBook Ultra",57999,J893="Samsung Galaxy Go",36990,J893="Acer Aspire 3",38980)</f>
        <v>#N/A</v>
      </c>
    </row>
    <row r="894" spans="7:15" x14ac:dyDescent="0.25">
      <c r="G894" t="str">
        <f>UPPER(Table1[[#This Row],[State]])</f>
        <v/>
      </c>
      <c r="L894" s="1"/>
      <c r="M894" s="1"/>
      <c r="O894" s="4" t="e" cm="1">
        <f t="array" ref="O894">_xlfn.IFS(J894="Dell Inspiron 15",66989,J894="Lenovo IdeaPad Slim 3i",34690,J894="Mi NoteBook Ultra",57999,J894="Samsung Galaxy Go",36990,J894="Acer Aspire 3",38980)</f>
        <v>#N/A</v>
      </c>
    </row>
    <row r="895" spans="7:15" x14ac:dyDescent="0.25">
      <c r="G895" t="str">
        <f>UPPER(Table1[[#This Row],[State]])</f>
        <v/>
      </c>
      <c r="L895" s="1"/>
      <c r="M895" s="1"/>
      <c r="O895" s="4" t="e" cm="1">
        <f t="array" ref="O895">_xlfn.IFS(J895="Dell Inspiron 15",66989,J895="Lenovo IdeaPad Slim 3i",34690,J895="Mi NoteBook Ultra",57999,J895="Samsung Galaxy Go",36990,J895="Acer Aspire 3",38980)</f>
        <v>#N/A</v>
      </c>
    </row>
    <row r="896" spans="7:15" x14ac:dyDescent="0.25">
      <c r="G896" t="str">
        <f>UPPER(Table1[[#This Row],[State]])</f>
        <v/>
      </c>
      <c r="L896" s="1"/>
      <c r="M896" s="1"/>
      <c r="O896" s="4" t="e" cm="1">
        <f t="array" ref="O896">_xlfn.IFS(J896="Dell Inspiron 15",66989,J896="Lenovo IdeaPad Slim 3i",34690,J896="Mi NoteBook Ultra",57999,J896="Samsung Galaxy Go",36990,J896="Acer Aspire 3",38980)</f>
        <v>#N/A</v>
      </c>
    </row>
    <row r="897" spans="7:15" x14ac:dyDescent="0.25">
      <c r="G897" t="str">
        <f>UPPER(Table1[[#This Row],[State]])</f>
        <v/>
      </c>
      <c r="L897" s="1"/>
      <c r="M897" s="1"/>
      <c r="O897" s="4" t="e" cm="1">
        <f t="array" ref="O897">_xlfn.IFS(J897="Dell Inspiron 15",66989,J897="Lenovo IdeaPad Slim 3i",34690,J897="Mi NoteBook Ultra",57999,J897="Samsung Galaxy Go",36990,J897="Acer Aspire 3",38980)</f>
        <v>#N/A</v>
      </c>
    </row>
    <row r="898" spans="7:15" x14ac:dyDescent="0.25">
      <c r="G898" t="str">
        <f>UPPER(Table1[[#This Row],[State]])</f>
        <v/>
      </c>
      <c r="L898" s="1"/>
      <c r="M898" s="1"/>
      <c r="O898" s="4" t="e" cm="1">
        <f t="array" ref="O898">_xlfn.IFS(J898="Dell Inspiron 15",66989,J898="Lenovo IdeaPad Slim 3i",34690,J898="Mi NoteBook Ultra",57999,J898="Samsung Galaxy Go",36990,J898="Acer Aspire 3",38980)</f>
        <v>#N/A</v>
      </c>
    </row>
    <row r="899" spans="7:15" x14ac:dyDescent="0.25">
      <c r="G899" t="str">
        <f>UPPER(Table1[[#This Row],[State]])</f>
        <v/>
      </c>
      <c r="L899" s="1"/>
      <c r="M899" s="1"/>
      <c r="O899" s="4" t="e" cm="1">
        <f t="array" ref="O899">_xlfn.IFS(J899="Dell Inspiron 15",66989,J899="Lenovo IdeaPad Slim 3i",34690,J899="Mi NoteBook Ultra",57999,J899="Samsung Galaxy Go",36990,J899="Acer Aspire 3",38980)</f>
        <v>#N/A</v>
      </c>
    </row>
    <row r="900" spans="7:15" x14ac:dyDescent="0.25">
      <c r="G900" t="str">
        <f>UPPER(Table1[[#This Row],[State]])</f>
        <v/>
      </c>
      <c r="L900" s="1"/>
      <c r="M900" s="1"/>
      <c r="O900" s="4" t="e" cm="1">
        <f t="array" ref="O900">_xlfn.IFS(J900="Dell Inspiron 15",66989,J900="Lenovo IdeaPad Slim 3i",34690,J900="Mi NoteBook Ultra",57999,J900="Samsung Galaxy Go",36990,J900="Acer Aspire 3",38980)</f>
        <v>#N/A</v>
      </c>
    </row>
    <row r="901" spans="7:15" x14ac:dyDescent="0.25">
      <c r="G901" t="str">
        <f>UPPER(Table1[[#This Row],[State]])</f>
        <v/>
      </c>
      <c r="L901" s="1"/>
      <c r="M901" s="1"/>
      <c r="O901" s="4" t="e" cm="1">
        <f t="array" ref="O901">_xlfn.IFS(J901="Dell Inspiron 15",66989,J901="Lenovo IdeaPad Slim 3i",34690,J901="Mi NoteBook Ultra",57999,J901="Samsung Galaxy Go",36990,J901="Acer Aspire 3",38980)</f>
        <v>#N/A</v>
      </c>
    </row>
    <row r="902" spans="7:15" x14ac:dyDescent="0.25">
      <c r="G902" t="str">
        <f>UPPER(Table1[[#This Row],[State]])</f>
        <v/>
      </c>
      <c r="L902" s="1"/>
      <c r="M902" s="1"/>
      <c r="O902" s="4" t="e" cm="1">
        <f t="array" ref="O902">_xlfn.IFS(J902="Dell Inspiron 15",66989,J902="Lenovo IdeaPad Slim 3i",34690,J902="Mi NoteBook Ultra",57999,J902="Samsung Galaxy Go",36990,J902="Acer Aspire 3",38980)</f>
        <v>#N/A</v>
      </c>
    </row>
    <row r="903" spans="7:15" x14ac:dyDescent="0.25">
      <c r="G903" t="str">
        <f>UPPER(Table1[[#This Row],[State]])</f>
        <v/>
      </c>
      <c r="L903" s="1"/>
      <c r="M903" s="1"/>
      <c r="O903" s="4" t="e" cm="1">
        <f t="array" ref="O903">_xlfn.IFS(J903="Dell Inspiron 15",66989,J903="Lenovo IdeaPad Slim 3i",34690,J903="Mi NoteBook Ultra",57999,J903="Samsung Galaxy Go",36990,J903="Acer Aspire 3",38980)</f>
        <v>#N/A</v>
      </c>
    </row>
    <row r="904" spans="7:15" x14ac:dyDescent="0.25">
      <c r="G904" t="str">
        <f>UPPER(Table1[[#This Row],[State]])</f>
        <v/>
      </c>
      <c r="L904" s="1"/>
      <c r="M904" s="1"/>
      <c r="O904" s="4" t="e" cm="1">
        <f t="array" ref="O904">_xlfn.IFS(J904="Dell Inspiron 15",66989,J904="Lenovo IdeaPad Slim 3i",34690,J904="Mi NoteBook Ultra",57999,J904="Samsung Galaxy Go",36990,J904="Acer Aspire 3",38980)</f>
        <v>#N/A</v>
      </c>
    </row>
    <row r="905" spans="7:15" x14ac:dyDescent="0.25">
      <c r="G905" t="str">
        <f>UPPER(Table1[[#This Row],[State]])</f>
        <v/>
      </c>
      <c r="L905" s="1"/>
      <c r="M905" s="1"/>
      <c r="O905" s="4" t="e" cm="1">
        <f t="array" ref="O905">_xlfn.IFS(J905="Dell Inspiron 15",66989,J905="Lenovo IdeaPad Slim 3i",34690,J905="Mi NoteBook Ultra",57999,J905="Samsung Galaxy Go",36990,J905="Acer Aspire 3",38980)</f>
        <v>#N/A</v>
      </c>
    </row>
    <row r="906" spans="7:15" x14ac:dyDescent="0.25">
      <c r="G906" t="str">
        <f>UPPER(Table1[[#This Row],[State]])</f>
        <v/>
      </c>
      <c r="L906" s="1"/>
      <c r="M906" s="1"/>
      <c r="O906" s="4" t="e" cm="1">
        <f t="array" ref="O906">_xlfn.IFS(J906="Dell Inspiron 15",66989,J906="Lenovo IdeaPad Slim 3i",34690,J906="Mi NoteBook Ultra",57999,J906="Samsung Galaxy Go",36990,J906="Acer Aspire 3",38980)</f>
        <v>#N/A</v>
      </c>
    </row>
    <row r="907" spans="7:15" x14ac:dyDescent="0.25">
      <c r="G907" t="str">
        <f>UPPER(Table1[[#This Row],[State]])</f>
        <v/>
      </c>
      <c r="L907" s="1"/>
      <c r="M907" s="1"/>
      <c r="O907" s="4" t="e" cm="1">
        <f t="array" ref="O907">_xlfn.IFS(J907="Dell Inspiron 15",66989,J907="Lenovo IdeaPad Slim 3i",34690,J907="Mi NoteBook Ultra",57999,J907="Samsung Galaxy Go",36990,J907="Acer Aspire 3",38980)</f>
        <v>#N/A</v>
      </c>
    </row>
    <row r="908" spans="7:15" x14ac:dyDescent="0.25">
      <c r="G908" t="str">
        <f>UPPER(Table1[[#This Row],[State]])</f>
        <v/>
      </c>
      <c r="L908" s="1"/>
      <c r="M908" s="1"/>
      <c r="O908" s="4" t="e" cm="1">
        <f t="array" ref="O908">_xlfn.IFS(J908="Dell Inspiron 15",66989,J908="Lenovo IdeaPad Slim 3i",34690,J908="Mi NoteBook Ultra",57999,J908="Samsung Galaxy Go",36990,J908="Acer Aspire 3",38980)</f>
        <v>#N/A</v>
      </c>
    </row>
    <row r="909" spans="7:15" x14ac:dyDescent="0.25">
      <c r="G909" t="str">
        <f>UPPER(Table1[[#This Row],[State]])</f>
        <v/>
      </c>
      <c r="L909" s="1"/>
      <c r="M909" s="1"/>
      <c r="O909" s="4" t="e" cm="1">
        <f t="array" ref="O909">_xlfn.IFS(J909="Dell Inspiron 15",66989,J909="Lenovo IdeaPad Slim 3i",34690,J909="Mi NoteBook Ultra",57999,J909="Samsung Galaxy Go",36990,J909="Acer Aspire 3",38980)</f>
        <v>#N/A</v>
      </c>
    </row>
    <row r="910" spans="7:15" x14ac:dyDescent="0.25">
      <c r="G910" t="str">
        <f>UPPER(Table1[[#This Row],[State]])</f>
        <v/>
      </c>
      <c r="L910" s="1"/>
      <c r="M910" s="1"/>
      <c r="O910" s="4" t="e" cm="1">
        <f t="array" ref="O910">_xlfn.IFS(J910="Dell Inspiron 15",66989,J910="Lenovo IdeaPad Slim 3i",34690,J910="Mi NoteBook Ultra",57999,J910="Samsung Galaxy Go",36990,J910="Acer Aspire 3",38980)</f>
        <v>#N/A</v>
      </c>
    </row>
    <row r="911" spans="7:15" x14ac:dyDescent="0.25">
      <c r="G911" t="str">
        <f>UPPER(Table1[[#This Row],[State]])</f>
        <v/>
      </c>
      <c r="L911" s="1"/>
      <c r="M911" s="1"/>
      <c r="O911" s="4" t="e" cm="1">
        <f t="array" ref="O911">_xlfn.IFS(J911="Dell Inspiron 15",66989,J911="Lenovo IdeaPad Slim 3i",34690,J911="Mi NoteBook Ultra",57999,J911="Samsung Galaxy Go",36990,J911="Acer Aspire 3",38980)</f>
        <v>#N/A</v>
      </c>
    </row>
    <row r="912" spans="7:15" x14ac:dyDescent="0.25">
      <c r="G912" t="str">
        <f>UPPER(Table1[[#This Row],[State]])</f>
        <v/>
      </c>
      <c r="L912" s="1"/>
      <c r="M912" s="1"/>
      <c r="O912" s="4" t="e" cm="1">
        <f t="array" ref="O912">_xlfn.IFS(J912="Dell Inspiron 15",66989,J912="Lenovo IdeaPad Slim 3i",34690,J912="Mi NoteBook Ultra",57999,J912="Samsung Galaxy Go",36990,J912="Acer Aspire 3",38980)</f>
        <v>#N/A</v>
      </c>
    </row>
    <row r="913" spans="7:15" x14ac:dyDescent="0.25">
      <c r="G913" t="str">
        <f>UPPER(Table1[[#This Row],[State]])</f>
        <v/>
      </c>
      <c r="L913" s="1"/>
      <c r="M913" s="1"/>
      <c r="O913" s="4" t="e" cm="1">
        <f t="array" ref="O913">_xlfn.IFS(J913="Dell Inspiron 15",66989,J913="Lenovo IdeaPad Slim 3i",34690,J913="Mi NoteBook Ultra",57999,J913="Samsung Galaxy Go",36990,J913="Acer Aspire 3",38980)</f>
        <v>#N/A</v>
      </c>
    </row>
    <row r="914" spans="7:15" x14ac:dyDescent="0.25">
      <c r="G914" t="str">
        <f>UPPER(Table1[[#This Row],[State]])</f>
        <v/>
      </c>
      <c r="L914" s="1"/>
      <c r="M914" s="1"/>
      <c r="O914" s="4" t="e" cm="1">
        <f t="array" ref="O914">_xlfn.IFS(J914="Dell Inspiron 15",66989,J914="Lenovo IdeaPad Slim 3i",34690,J914="Mi NoteBook Ultra",57999,J914="Samsung Galaxy Go",36990,J914="Acer Aspire 3",38980)</f>
        <v>#N/A</v>
      </c>
    </row>
    <row r="915" spans="7:15" x14ac:dyDescent="0.25">
      <c r="G915" t="str">
        <f>UPPER(Table1[[#This Row],[State]])</f>
        <v/>
      </c>
      <c r="L915" s="1"/>
      <c r="M915" s="1"/>
      <c r="O915" s="4" t="e" cm="1">
        <f t="array" ref="O915">_xlfn.IFS(J915="Dell Inspiron 15",66989,J915="Lenovo IdeaPad Slim 3i",34690,J915="Mi NoteBook Ultra",57999,J915="Samsung Galaxy Go",36990,J915="Acer Aspire 3",38980)</f>
        <v>#N/A</v>
      </c>
    </row>
    <row r="916" spans="7:15" x14ac:dyDescent="0.25">
      <c r="G916" t="str">
        <f>UPPER(Table1[[#This Row],[State]])</f>
        <v/>
      </c>
      <c r="L916" s="1"/>
      <c r="M916" s="1"/>
      <c r="O916" s="4" t="e" cm="1">
        <f t="array" ref="O916">_xlfn.IFS(J916="Dell Inspiron 15",66989,J916="Lenovo IdeaPad Slim 3i",34690,J916="Mi NoteBook Ultra",57999,J916="Samsung Galaxy Go",36990,J916="Acer Aspire 3",38980)</f>
        <v>#N/A</v>
      </c>
    </row>
    <row r="917" spans="7:15" x14ac:dyDescent="0.25">
      <c r="G917" t="str">
        <f>UPPER(Table1[[#This Row],[State]])</f>
        <v/>
      </c>
      <c r="L917" s="1"/>
      <c r="M917" s="1"/>
      <c r="O917" s="4" t="e" cm="1">
        <f t="array" ref="O917">_xlfn.IFS(J917="Dell Inspiron 15",66989,J917="Lenovo IdeaPad Slim 3i",34690,J917="Mi NoteBook Ultra",57999,J917="Samsung Galaxy Go",36990,J917="Acer Aspire 3",38980)</f>
        <v>#N/A</v>
      </c>
    </row>
    <row r="918" spans="7:15" x14ac:dyDescent="0.25">
      <c r="G918" t="str">
        <f>UPPER(Table1[[#This Row],[State]])</f>
        <v/>
      </c>
      <c r="L918" s="1"/>
      <c r="M918" s="1"/>
      <c r="O918" s="4" t="e" cm="1">
        <f t="array" ref="O918">_xlfn.IFS(J918="Dell Inspiron 15",66989,J918="Lenovo IdeaPad Slim 3i",34690,J918="Mi NoteBook Ultra",57999,J918="Samsung Galaxy Go",36990,J918="Acer Aspire 3",38980)</f>
        <v>#N/A</v>
      </c>
    </row>
    <row r="919" spans="7:15" x14ac:dyDescent="0.25">
      <c r="G919" t="str">
        <f>UPPER(Table1[[#This Row],[State]])</f>
        <v/>
      </c>
      <c r="L919" s="1"/>
      <c r="M919" s="1"/>
      <c r="O919" s="4" t="e" cm="1">
        <f t="array" ref="O919">_xlfn.IFS(J919="Dell Inspiron 15",66989,J919="Lenovo IdeaPad Slim 3i",34690,J919="Mi NoteBook Ultra",57999,J919="Samsung Galaxy Go",36990,J919="Acer Aspire 3",38980)</f>
        <v>#N/A</v>
      </c>
    </row>
    <row r="920" spans="7:15" x14ac:dyDescent="0.25">
      <c r="G920" t="str">
        <f>UPPER(Table1[[#This Row],[State]])</f>
        <v/>
      </c>
      <c r="L920" s="1"/>
      <c r="M920" s="1"/>
      <c r="O920" s="4" t="e" cm="1">
        <f t="array" ref="O920">_xlfn.IFS(J920="Dell Inspiron 15",66989,J920="Lenovo IdeaPad Slim 3i",34690,J920="Mi NoteBook Ultra",57999,J920="Samsung Galaxy Go",36990,J920="Acer Aspire 3",38980)</f>
        <v>#N/A</v>
      </c>
    </row>
    <row r="921" spans="7:15" x14ac:dyDescent="0.25">
      <c r="G921" t="str">
        <f>UPPER(Table1[[#This Row],[State]])</f>
        <v/>
      </c>
      <c r="L921" s="1"/>
      <c r="M921" s="1"/>
      <c r="O921" s="4" t="e" cm="1">
        <f t="array" ref="O921">_xlfn.IFS(J921="Dell Inspiron 15",66989,J921="Lenovo IdeaPad Slim 3i",34690,J921="Mi NoteBook Ultra",57999,J921="Samsung Galaxy Go",36990,J921="Acer Aspire 3",38980)</f>
        <v>#N/A</v>
      </c>
    </row>
    <row r="922" spans="7:15" x14ac:dyDescent="0.25">
      <c r="G922" t="str">
        <f>UPPER(Table1[[#This Row],[State]])</f>
        <v/>
      </c>
      <c r="L922" s="1"/>
      <c r="M922" s="1"/>
      <c r="O922" s="4" t="e" cm="1">
        <f t="array" ref="O922">_xlfn.IFS(J922="Dell Inspiron 15",66989,J922="Lenovo IdeaPad Slim 3i",34690,J922="Mi NoteBook Ultra",57999,J922="Samsung Galaxy Go",36990,J922="Acer Aspire 3",38980)</f>
        <v>#N/A</v>
      </c>
    </row>
    <row r="923" spans="7:15" x14ac:dyDescent="0.25">
      <c r="G923" t="str">
        <f>UPPER(Table1[[#This Row],[State]])</f>
        <v/>
      </c>
      <c r="L923" s="1"/>
      <c r="M923" s="1"/>
      <c r="O923" s="4" t="e" cm="1">
        <f t="array" ref="O923">_xlfn.IFS(J923="Dell Inspiron 15",66989,J923="Lenovo IdeaPad Slim 3i",34690,J923="Mi NoteBook Ultra",57999,J923="Samsung Galaxy Go",36990,J923="Acer Aspire 3",38980)</f>
        <v>#N/A</v>
      </c>
    </row>
    <row r="924" spans="7:15" x14ac:dyDescent="0.25">
      <c r="G924" t="str">
        <f>UPPER(Table1[[#This Row],[State]])</f>
        <v/>
      </c>
      <c r="L924" s="1"/>
      <c r="M924" s="1"/>
      <c r="O924" s="4" t="e" cm="1">
        <f t="array" ref="O924">_xlfn.IFS(J924="Dell Inspiron 15",66989,J924="Lenovo IdeaPad Slim 3i",34690,J924="Mi NoteBook Ultra",57999,J924="Samsung Galaxy Go",36990,J924="Acer Aspire 3",38980)</f>
        <v>#N/A</v>
      </c>
    </row>
    <row r="925" spans="7:15" x14ac:dyDescent="0.25">
      <c r="G925" t="str">
        <f>UPPER(Table1[[#This Row],[State]])</f>
        <v/>
      </c>
      <c r="L925" s="1"/>
      <c r="M925" s="1"/>
      <c r="O925" s="4" t="e" cm="1">
        <f t="array" ref="O925">_xlfn.IFS(J925="Dell Inspiron 15",66989,J925="Lenovo IdeaPad Slim 3i",34690,J925="Mi NoteBook Ultra",57999,J925="Samsung Galaxy Go",36990,J925="Acer Aspire 3",38980)</f>
        <v>#N/A</v>
      </c>
    </row>
    <row r="926" spans="7:15" x14ac:dyDescent="0.25">
      <c r="G926" t="str">
        <f>UPPER(Table1[[#This Row],[State]])</f>
        <v/>
      </c>
      <c r="L926" s="1"/>
      <c r="M926" s="1"/>
      <c r="O926" s="4" t="e" cm="1">
        <f t="array" ref="O926">_xlfn.IFS(J926="Dell Inspiron 15",66989,J926="Lenovo IdeaPad Slim 3i",34690,J926="Mi NoteBook Ultra",57999,J926="Samsung Galaxy Go",36990,J926="Acer Aspire 3",38980)</f>
        <v>#N/A</v>
      </c>
    </row>
    <row r="927" spans="7:15" x14ac:dyDescent="0.25">
      <c r="G927" t="str">
        <f>UPPER(Table1[[#This Row],[State]])</f>
        <v/>
      </c>
      <c r="L927" s="1"/>
      <c r="M927" s="1"/>
      <c r="O927" s="4" t="e" cm="1">
        <f t="array" ref="O927">_xlfn.IFS(J927="Dell Inspiron 15",66989,J927="Lenovo IdeaPad Slim 3i",34690,J927="Mi NoteBook Ultra",57999,J927="Samsung Galaxy Go",36990,J927="Acer Aspire 3",38980)</f>
        <v>#N/A</v>
      </c>
    </row>
    <row r="928" spans="7:15" x14ac:dyDescent="0.25">
      <c r="G928" t="str">
        <f>UPPER(Table1[[#This Row],[State]])</f>
        <v/>
      </c>
      <c r="L928" s="1"/>
      <c r="M928" s="1"/>
      <c r="O928" s="4" t="e" cm="1">
        <f t="array" ref="O928">_xlfn.IFS(J928="Dell Inspiron 15",66989,J928="Lenovo IdeaPad Slim 3i",34690,J928="Mi NoteBook Ultra",57999,J928="Samsung Galaxy Go",36990,J928="Acer Aspire 3",38980)</f>
        <v>#N/A</v>
      </c>
    </row>
    <row r="929" spans="7:15" x14ac:dyDescent="0.25">
      <c r="G929" t="str">
        <f>UPPER(Table1[[#This Row],[State]])</f>
        <v/>
      </c>
      <c r="L929" s="1"/>
      <c r="M929" s="1"/>
      <c r="O929" s="4" t="e" cm="1">
        <f t="array" ref="O929">_xlfn.IFS(J929="Dell Inspiron 15",66989,J929="Lenovo IdeaPad Slim 3i",34690,J929="Mi NoteBook Ultra",57999,J929="Samsung Galaxy Go",36990,J929="Acer Aspire 3",38980)</f>
        <v>#N/A</v>
      </c>
    </row>
    <row r="930" spans="7:15" x14ac:dyDescent="0.25">
      <c r="G930" t="str">
        <f>UPPER(Table1[[#This Row],[State]])</f>
        <v/>
      </c>
      <c r="L930" s="1"/>
      <c r="M930" s="1"/>
      <c r="O930" s="4" t="e" cm="1">
        <f t="array" ref="O930">_xlfn.IFS(J930="Dell Inspiron 15",66989,J930="Lenovo IdeaPad Slim 3i",34690,J930="Mi NoteBook Ultra",57999,J930="Samsung Galaxy Go",36990,J930="Acer Aspire 3",38980)</f>
        <v>#N/A</v>
      </c>
    </row>
    <row r="931" spans="7:15" x14ac:dyDescent="0.25">
      <c r="G931" t="str">
        <f>UPPER(Table1[[#This Row],[State]])</f>
        <v/>
      </c>
      <c r="L931" s="1"/>
      <c r="M931" s="1"/>
      <c r="O931" s="4" t="e" cm="1">
        <f t="array" ref="O931">_xlfn.IFS(J931="Dell Inspiron 15",66989,J931="Lenovo IdeaPad Slim 3i",34690,J931="Mi NoteBook Ultra",57999,J931="Samsung Galaxy Go",36990,J931="Acer Aspire 3",38980)</f>
        <v>#N/A</v>
      </c>
    </row>
    <row r="932" spans="7:15" x14ac:dyDescent="0.25">
      <c r="G932" t="str">
        <f>UPPER(Table1[[#This Row],[State]])</f>
        <v/>
      </c>
      <c r="L932" s="1"/>
      <c r="M932" s="1"/>
      <c r="O932" s="4" t="e" cm="1">
        <f t="array" ref="O932">_xlfn.IFS(J932="Dell Inspiron 15",66989,J932="Lenovo IdeaPad Slim 3i",34690,J932="Mi NoteBook Ultra",57999,J932="Samsung Galaxy Go",36990,J932="Acer Aspire 3",38980)</f>
        <v>#N/A</v>
      </c>
    </row>
    <row r="933" spans="7:15" x14ac:dyDescent="0.25">
      <c r="G933" t="str">
        <f>UPPER(Table1[[#This Row],[State]])</f>
        <v/>
      </c>
      <c r="L933" s="1"/>
      <c r="M933" s="1"/>
      <c r="O933" s="4" t="e" cm="1">
        <f t="array" ref="O933">_xlfn.IFS(J933="Dell Inspiron 15",66989,J933="Lenovo IdeaPad Slim 3i",34690,J933="Mi NoteBook Ultra",57999,J933="Samsung Galaxy Go",36990,J933="Acer Aspire 3",38980)</f>
        <v>#N/A</v>
      </c>
    </row>
    <row r="934" spans="7:15" x14ac:dyDescent="0.25">
      <c r="G934" t="str">
        <f>UPPER(Table1[[#This Row],[State]])</f>
        <v/>
      </c>
      <c r="L934" s="1"/>
      <c r="M934" s="1"/>
      <c r="O934" s="4" t="e" cm="1">
        <f t="array" ref="O934">_xlfn.IFS(J934="Dell Inspiron 15",66989,J934="Lenovo IdeaPad Slim 3i",34690,J934="Mi NoteBook Ultra",57999,J934="Samsung Galaxy Go",36990,J934="Acer Aspire 3",38980)</f>
        <v>#N/A</v>
      </c>
    </row>
    <row r="935" spans="7:15" x14ac:dyDescent="0.25">
      <c r="G935" t="str">
        <f>UPPER(Table1[[#This Row],[State]])</f>
        <v/>
      </c>
      <c r="L935" s="1"/>
      <c r="M935" s="1"/>
      <c r="O935" s="4" t="e" cm="1">
        <f t="array" ref="O935">_xlfn.IFS(J935="Dell Inspiron 15",66989,J935="Lenovo IdeaPad Slim 3i",34690,J935="Mi NoteBook Ultra",57999,J935="Samsung Galaxy Go",36990,J935="Acer Aspire 3",38980)</f>
        <v>#N/A</v>
      </c>
    </row>
    <row r="936" spans="7:15" x14ac:dyDescent="0.25">
      <c r="G936" t="str">
        <f>UPPER(Table1[[#This Row],[State]])</f>
        <v/>
      </c>
      <c r="L936" s="1"/>
      <c r="M936" s="1"/>
      <c r="O936" s="4" t="e" cm="1">
        <f t="array" ref="O936">_xlfn.IFS(J936="Dell Inspiron 15",66989,J936="Lenovo IdeaPad Slim 3i",34690,J936="Mi NoteBook Ultra",57999,J936="Samsung Galaxy Go",36990,J936="Acer Aspire 3",38980)</f>
        <v>#N/A</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Sheet7</vt:lpstr>
      <vt:lpstr>DASHBOARD</vt:lpstr>
      <vt:lpstr>Sales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Endless</dc:creator>
  <cp:lastModifiedBy>harshinichandramohan5@gmail.com</cp:lastModifiedBy>
  <dcterms:created xsi:type="dcterms:W3CDTF">2022-06-08T12:46:25Z</dcterms:created>
  <dcterms:modified xsi:type="dcterms:W3CDTF">2026-07-19T13:05:09Z</dcterms:modified>
</cp:coreProperties>
</file>